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ocumentos\000. MSC\00. Tesis-Textiles\uni-cc-base-multimodal-textiles-andinos\data\metadata\"/>
    </mc:Choice>
  </mc:AlternateContent>
  <xr:revisionPtr revIDLastSave="0" documentId="13_ncr:20001_{BC6397CF-C5DC-494C-B1BB-E73BB1D2EB74}" xr6:coauthVersionLast="47" xr6:coauthVersionMax="47" xr10:uidLastSave="{00000000-0000-0000-0000-000000000000}"/>
  <bookViews>
    <workbookView xWindow="-108" yWindow="-108" windowWidth="23256" windowHeight="12576" activeTab="1" xr2:uid="{00000000-000D-0000-FFFF-FFFF00000000}"/>
  </bookViews>
  <sheets>
    <sheet name="instrucciones" sheetId="1" r:id="rId1"/>
    <sheet name="revision_candidatos" sheetId="2" r:id="rId2"/>
    <sheet name="resumen" sheetId="3" r:id="rId3"/>
    <sheet name="vocabulario" sheetId="4" state="hidden" r:id="rId4"/>
  </sheets>
  <definedNames>
    <definedName name="_xlnm._FilterDatabase" localSheetId="1" hidden="1">revision_candidatos!$A$1:$AH$139</definedName>
  </definedNames>
  <calcPr calcId="191029"/>
  <fileRecoveryPr repairLoad="1"/>
</workbook>
</file>

<file path=xl/calcChain.xml><?xml version="1.0" encoding="utf-8"?>
<calcChain xmlns="http://schemas.openxmlformats.org/spreadsheetml/2006/main">
  <c r="B24" i="3" l="1"/>
  <c r="B23" i="3"/>
  <c r="B22" i="3"/>
  <c r="B21" i="3"/>
  <c r="B18" i="3"/>
  <c r="B17" i="3"/>
  <c r="B16" i="3"/>
  <c r="B15" i="3"/>
  <c r="B14" i="3"/>
  <c r="B13" i="3"/>
  <c r="B12" i="3"/>
  <c r="B9" i="3"/>
  <c r="B8" i="3"/>
  <c r="B7" i="3"/>
  <c r="B6" i="3"/>
  <c r="B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UNI-CC</author>
  </authors>
  <commentList>
    <comment ref="V1" authorId="0" shapeId="0" xr:uid="{00000000-0006-0000-0100-000001000000}">
      <text>
        <r>
          <rPr>
            <sz val="11"/>
            <color theme="1"/>
            <rFont val="Calibri"/>
            <family val="2"/>
            <scheme val="minor"/>
          </rPr>
          <t>Decision manual final del revisor.</t>
        </r>
      </text>
    </comment>
    <comment ref="W1" authorId="0" shapeId="0" xr:uid="{00000000-0006-0000-0100-000002000000}">
      <text>
        <r>
          <rPr>
            <sz val="11"/>
            <color theme="1"/>
            <rFont val="Calibri"/>
            <family val="2"/>
            <scheme val="minor"/>
          </rPr>
          <t>Motivo breve que justifica la decision manual.</t>
        </r>
      </text>
    </comment>
    <comment ref="X1" authorId="0" shapeId="0" xr:uid="{00000000-0006-0000-0100-000003000000}">
      <text>
        <r>
          <rPr>
            <sz val="11"/>
            <color theme="1"/>
            <rFont val="Calibri"/>
            <family val="2"/>
            <scheme val="minor"/>
          </rPr>
          <t>Observaciones adicionales para trazabilidad.</t>
        </r>
      </text>
    </comment>
    <comment ref="Y1" authorId="0" shapeId="0" xr:uid="{00000000-0006-0000-0100-000004000000}">
      <text>
        <r>
          <rPr>
            <sz val="11"/>
            <color theme="1"/>
            <rFont val="Calibri"/>
            <family val="2"/>
            <scheme val="minor"/>
          </rPr>
          <t>Marcar si la pieza ingresa o no al corpus curado.</t>
        </r>
      </text>
    </comment>
    <comment ref="Z1" authorId="0" shapeId="0" xr:uid="{00000000-0006-0000-0100-000005000000}">
      <text>
        <r>
          <rPr>
            <sz val="11"/>
            <color theme="1"/>
            <rFont val="Calibri"/>
            <family val="2"/>
            <scheme val="minor"/>
          </rPr>
          <t>principal, secundario, descartado o pendiente.</t>
        </r>
      </text>
    </comment>
    <comment ref="AA1" authorId="0" shapeId="0" xr:uid="{00000000-0006-0000-0100-000006000000}">
      <text>
        <r>
          <rPr>
            <sz val="11"/>
            <color theme="1"/>
            <rFont val="Calibri"/>
            <family val="2"/>
            <scheme val="minor"/>
          </rPr>
          <t>Evaluar utilidad de la imagen para tareas visuales.</t>
        </r>
      </text>
    </comment>
    <comment ref="AB1" authorId="0" shapeId="0" xr:uid="{00000000-0006-0000-0100-000007000000}">
      <text>
        <r>
          <rPr>
            <sz val="11"/>
            <color theme="1"/>
            <rFont val="Calibri"/>
            <family val="2"/>
            <scheme val="minor"/>
          </rPr>
          <t>Tipo de objeto observado manualmente.</t>
        </r>
      </text>
    </comment>
    <comment ref="AC1" authorId="0" shapeId="0" xr:uid="{00000000-0006-0000-0100-000008000000}">
      <text>
        <r>
          <rPr>
            <sz val="11"/>
            <color theme="1"/>
            <rFont val="Calibri"/>
            <family val="2"/>
            <scheme val="minor"/>
          </rPr>
          <t>Corregir o precisar cultura si corresponde.</t>
        </r>
      </text>
    </comment>
    <comment ref="AD1" authorId="0" shapeId="0" xr:uid="{00000000-0006-0000-0100-000009000000}">
      <text>
        <r>
          <rPr>
            <sz val="11"/>
            <color theme="1"/>
            <rFont val="Calibri"/>
            <family val="2"/>
            <scheme val="minor"/>
          </rPr>
          <t>Corregir o precisar periodo si corresponde.</t>
        </r>
      </text>
    </comment>
    <comment ref="AE1" authorId="0" shapeId="0" xr:uid="{00000000-0006-0000-0100-00000A000000}">
      <text>
        <r>
          <rPr>
            <sz val="11"/>
            <color theme="1"/>
            <rFont val="Calibri"/>
            <family val="2"/>
            <scheme val="minor"/>
          </rPr>
          <t>Registrar motivos, figuras, patrones o composicion visual.</t>
        </r>
      </text>
    </comment>
    <comment ref="AF1" authorId="0" shapeId="0" xr:uid="{00000000-0006-0000-0100-00000B000000}">
      <text>
        <r>
          <rPr>
            <sz val="11"/>
            <color theme="1"/>
            <rFont val="Calibri"/>
            <family val="2"/>
            <scheme val="minor"/>
          </rPr>
          <t>Registrar tecnica, materialidad, tejido, bordado o tapiz.</t>
        </r>
      </text>
    </comment>
    <comment ref="AG1" authorId="0" shapeId="0" xr:uid="{00000000-0006-0000-0100-00000C000000}">
      <text>
        <r>
          <rPr>
            <sz val="11"/>
            <color theme="1"/>
            <rFont val="Calibri"/>
            <family val="2"/>
            <scheme val="minor"/>
          </rPr>
          <t>Iniciales o nombre corto del revisor.</t>
        </r>
      </text>
    </comment>
    <comment ref="AH1" authorId="0" shapeId="0" xr:uid="{00000000-0006-0000-0100-00000D000000}">
      <text>
        <r>
          <rPr>
            <sz val="11"/>
            <color theme="1"/>
            <rFont val="Calibri"/>
            <family val="2"/>
            <scheme val="minor"/>
          </rPr>
          <t>Fecha en formato YYYY-MM-DD.</t>
        </r>
      </text>
    </comment>
  </commentList>
</comments>
</file>

<file path=xl/sharedStrings.xml><?xml version="1.0" encoding="utf-8"?>
<sst xmlns="http://schemas.openxmlformats.org/spreadsheetml/2006/main" count="3075" uniqueCount="1099">
  <si>
    <t>Workbook de curacion manual CMA</t>
  </si>
  <si>
    <t>Campo</t>
  </si>
  <si>
    <t>Descripcion</t>
  </si>
  <si>
    <t>Insumo</t>
  </si>
  <si>
    <t>data/metadata/cma_andes_textiles_candidates.csv</t>
  </si>
  <si>
    <t>Registros incluidos</t>
  </si>
  <si>
    <t>138 candidatos con categoria_revision_auto = candidate</t>
  </si>
  <si>
    <t>Paso 1</t>
  </si>
  <si>
    <t>Abrir la ficha institucional y la imagen usando enlace_objeto y enlace_imagen.</t>
  </si>
  <si>
    <t>Paso 2</t>
  </si>
  <si>
    <t>Completar decision_auditoria, motivo_auditoria y observacion_auditoria.</t>
  </si>
  <si>
    <t>Paso 3</t>
  </si>
  <si>
    <t>Definir incluir_en_corpus y subconjunto_corpus.</t>
  </si>
  <si>
    <t>Paso 4</t>
  </si>
  <si>
    <t>Completar calidad_visual y tipo_objeto_manual cuando corresponda.</t>
  </si>
  <si>
    <t>Regla principal</t>
  </si>
  <si>
    <t>No ingresar al corpus principal piezas no textiles, no andinas, duplicadas o visualmente poco informativas.</t>
  </si>
  <si>
    <t>Consistencia MET</t>
  </si>
  <si>
    <t>La estructura conserva los campos base usados en la auditoria MET: id_objeto, titulo_original, cultura, periodo, clasificacion_original, material_original, url_objeto, url_imagen, decision_auditoria, motivo_auditoria y observacion_auditoria.</t>
  </si>
  <si>
    <t>nro_revision</t>
  </si>
  <si>
    <t>fuente</t>
  </si>
  <si>
    <t>id_objeto</t>
  </si>
  <si>
    <t>numero_acceso</t>
  </si>
  <si>
    <t>titulo_original</t>
  </si>
  <si>
    <t>cultura</t>
  </si>
  <si>
    <t>periodo</t>
  </si>
  <si>
    <t>clasificacion_original</t>
  </si>
  <si>
    <t>nombre_objeto_original</t>
  </si>
  <si>
    <t>tecnica_original</t>
  </si>
  <si>
    <t>material_original</t>
  </si>
  <si>
    <t>descripcion_original</t>
  </si>
  <si>
    <t>url_objeto</t>
  </si>
  <si>
    <t>url_imagen</t>
  </si>
  <si>
    <t>enlace_objeto</t>
  </si>
  <si>
    <t>enlace_imagen</t>
  </si>
  <si>
    <t>terminos_andinos_auto</t>
  </si>
  <si>
    <t>terminos_textiles_auto</t>
  </si>
  <si>
    <t>categoria_revision_auto</t>
  </si>
  <si>
    <t>motivo_revision_auto</t>
  </si>
  <si>
    <t>decision_sugerida</t>
  </si>
  <si>
    <t>decision_auditoria</t>
  </si>
  <si>
    <t>motivo_auditoria</t>
  </si>
  <si>
    <t>observacion_auditoria</t>
  </si>
  <si>
    <t>incluir_en_corpus</t>
  </si>
  <si>
    <t>subconjunto_corpus</t>
  </si>
  <si>
    <t>calidad_visual</t>
  </si>
  <si>
    <t>tipo_objeto_manual</t>
  </si>
  <si>
    <t>cultura_manual</t>
  </si>
  <si>
    <t>periodo_manual</t>
  </si>
  <si>
    <t>notas_iconograficas</t>
  </si>
  <si>
    <t>notas_tecnicas</t>
  </si>
  <si>
    <t>revisor</t>
  </si>
  <si>
    <t>fecha_revision</t>
  </si>
  <si>
    <t>Cleveland Museum of Art</t>
  </si>
  <si>
    <t>102924</t>
  </si>
  <si>
    <t>1921.1550</t>
  </si>
  <si>
    <t>Fragment of a Border</t>
  </si>
  <si>
    <t>Peru, South Coast, Paracas, Late Period</t>
  </si>
  <si>
    <t>300–100 BCE</t>
  </si>
  <si>
    <t>Textile</t>
  </si>
  <si>
    <t>cotton plain cloth embroidered in wool outline stitch</t>
  </si>
  <si>
    <t>https://clevelandart.org/art/1921.1550</t>
  </si>
  <si>
    <t>https://openaccess-cdn.clevelandart.org/1921.1550/1921.1550_web.jpg</t>
  </si>
  <si>
    <t>Abrir ficha</t>
  </si>
  <si>
    <t>Abrir imagen</t>
  </si>
  <si>
    <t>paracas; peru; south coast</t>
  </si>
  <si>
    <t>cloth; cotton; textile; wool</t>
  </si>
  <si>
    <t>candidate</t>
  </si>
  <si>
    <t>Pendiente de revision visual.</t>
  </si>
  <si>
    <t>revisar_candidato</t>
  </si>
  <si>
    <t>pendiente</t>
  </si>
  <si>
    <t>104234</t>
  </si>
  <si>
    <t>1922.389</t>
  </si>
  <si>
    <t>Fragment Composed of Two Fabrics Joined</t>
  </si>
  <si>
    <t>Peru, Central Coast, Chancay, 12th-15th century</t>
  </si>
  <si>
    <t>c. 1100–1400</t>
  </si>
  <si>
    <t>plain compound twill and plain compound tabby; cotton</t>
  </si>
  <si>
    <t>https://clevelandart.org/art/1922.389</t>
  </si>
  <si>
    <t>https://openaccess-cdn.clevelandart.org/1922.389/1922.389_web.jpg</t>
  </si>
  <si>
    <t>chancay; peru</t>
  </si>
  <si>
    <t>cotton; textile</t>
  </si>
  <si>
    <t>104236</t>
  </si>
  <si>
    <t>1922.390</t>
  </si>
  <si>
    <t>Fragment formed of Four Separate Fabrics Joined</t>
  </si>
  <si>
    <t>two pieces plain cloth, two pieces compound twill; cotton</t>
  </si>
  <si>
    <t>https://clevelandart.org/art/1922.390</t>
  </si>
  <si>
    <t>https://openaccess-cdn.clevelandart.org/1922.390/1922.390_web.jpg</t>
  </si>
  <si>
    <t>cloth; cotton; textile</t>
  </si>
  <si>
    <t>104238</t>
  </si>
  <si>
    <t>1922.392</t>
  </si>
  <si>
    <t>Fragment</t>
  </si>
  <si>
    <t>Peru, North Coast, Chimú Culture, 12th-15th century</t>
  </si>
  <si>
    <t>plain cloth, brocaded; cotton</t>
  </si>
  <si>
    <t>https://clevelandart.org/art/1922.392</t>
  </si>
  <si>
    <t>https://openaccess-cdn.clevelandart.org/1922.392/1922.392_web.jpg</t>
  </si>
  <si>
    <t>north coast; peru</t>
  </si>
  <si>
    <t>104240</t>
  </si>
  <si>
    <t>1922.394</t>
  </si>
  <si>
    <t>Border Strip</t>
  </si>
  <si>
    <t>tabby weave with supplementary pattern weft; cotton</t>
  </si>
  <si>
    <t>https://clevelandart.org/art/1922.394</t>
  </si>
  <si>
    <t>https://openaccess-cdn.clevelandart.org/1922.394/1922.394_web.jpg</t>
  </si>
  <si>
    <t>104241</t>
  </si>
  <si>
    <t>1922.395</t>
  </si>
  <si>
    <t>Four Border Strips</t>
  </si>
  <si>
    <t>plain compound cloth; cotton</t>
  </si>
  <si>
    <t>https://clevelandart.org/art/1922.395</t>
  </si>
  <si>
    <t>https://openaccess-cdn.clevelandart.org/1922.395/1922.395_web.jpg</t>
  </si>
  <si>
    <t>104242</t>
  </si>
  <si>
    <t>1922.395.a</t>
  </si>
  <si>
    <t>https://clevelandart.org/art/1922.395.a</t>
  </si>
  <si>
    <t>https://openaccess-cdn.clevelandart.org/1922.395.a/1922.395.a_web.jpg</t>
  </si>
  <si>
    <t>104243</t>
  </si>
  <si>
    <t>1922.395.b</t>
  </si>
  <si>
    <t>https://clevelandart.org/art/1922.395.b</t>
  </si>
  <si>
    <t>https://openaccess-cdn.clevelandart.org/1922.395.b/1922.395.b_web.jpg</t>
  </si>
  <si>
    <t>104244</t>
  </si>
  <si>
    <t>1922.395.c</t>
  </si>
  <si>
    <t>https://clevelandart.org/art/1922.395.c</t>
  </si>
  <si>
    <t>https://openaccess-cdn.clevelandart.org/1922.395.c/1922.395.c_web.jpg</t>
  </si>
  <si>
    <t>104245</t>
  </si>
  <si>
    <t>1922.395.d</t>
  </si>
  <si>
    <t>https://clevelandart.org/art/1922.395.d</t>
  </si>
  <si>
    <t>https://openaccess-cdn.clevelandart.org/1922.395.d/1922.395.d_web.jpg</t>
  </si>
  <si>
    <t>104246</t>
  </si>
  <si>
    <t>1922.396</t>
  </si>
  <si>
    <t>Three Fragments of a Border</t>
  </si>
  <si>
    <t>tabby with inset border of fancy twill, brocaded; cotton and wool</t>
  </si>
  <si>
    <t>https://clevelandart.org/art/1922.396</t>
  </si>
  <si>
    <t>https://openaccess-cdn.clevelandart.org/1922.396/1922.396_web.jpg</t>
  </si>
  <si>
    <t>cotton; textile; wool</t>
  </si>
  <si>
    <t>104247</t>
  </si>
  <si>
    <t>1922.396.a</t>
  </si>
  <si>
    <t>https://clevelandart.org/art/1922.396.a</t>
  </si>
  <si>
    <t>https://openaccess-cdn.clevelandart.org/1922.396.a/1922.396.a_web.jpg</t>
  </si>
  <si>
    <t>104248</t>
  </si>
  <si>
    <t>1922.396.b</t>
  </si>
  <si>
    <t>https://clevelandart.org/art/1922.396.b</t>
  </si>
  <si>
    <t>https://openaccess-cdn.clevelandart.org/1922.396.b/1922.396.b_web.jpg</t>
  </si>
  <si>
    <t>104249</t>
  </si>
  <si>
    <t>1922.396.c</t>
  </si>
  <si>
    <t>https://clevelandart.org/art/1922.396.c</t>
  </si>
  <si>
    <t>https://openaccess-cdn.clevelandart.org/1922.396.c/1922.396.c_web.jpg</t>
  </si>
  <si>
    <t>104250</t>
  </si>
  <si>
    <t>1922.397</t>
  </si>
  <si>
    <t>Three Border Fragments</t>
  </si>
  <si>
    <t>tabby, brocaded; cotton and wool</t>
  </si>
  <si>
    <t>https://clevelandart.org/art/1922.397</t>
  </si>
  <si>
    <t>https://openaccess-cdn.clevelandart.org/1922.397/1922.397_web.jpg</t>
  </si>
  <si>
    <t>104251</t>
  </si>
  <si>
    <t>1922.397.a</t>
  </si>
  <si>
    <t>https://clevelandart.org/art/1922.397.a</t>
  </si>
  <si>
    <t>https://openaccess-cdn.clevelandart.org/1922.397.a/1922.397.a_web.jpg</t>
  </si>
  <si>
    <t>104252</t>
  </si>
  <si>
    <t>1922.397.b</t>
  </si>
  <si>
    <t>https://clevelandart.org/art/1922.397.b</t>
  </si>
  <si>
    <t>https://openaccess-cdn.clevelandart.org/1922.397.b/1922.397.b_web.jpg</t>
  </si>
  <si>
    <t>104253</t>
  </si>
  <si>
    <t>1922.397.c</t>
  </si>
  <si>
    <t>https://clevelandart.org/art/1922.397.c</t>
  </si>
  <si>
    <t>https://openaccess-cdn.clevelandart.org/1922.397.c/1922.397.c_web.jpg</t>
  </si>
  <si>
    <t>104390</t>
  </si>
  <si>
    <t>1922.517</t>
  </si>
  <si>
    <t>Fragment from a Mantle</t>
  </si>
  <si>
    <t>tabby, brocaded; border: single-face pattern weave (fancy twill); cotton and wool</t>
  </si>
  <si>
    <t>https://clevelandart.org/art/1922.517</t>
  </si>
  <si>
    <t>https://openaccess-cdn.clevelandart.org/1922.517/1922.517_web.jpg</t>
  </si>
  <si>
    <t>cotton; mantle; textile; wool</t>
  </si>
  <si>
    <t>107850</t>
  </si>
  <si>
    <t>1925.480</t>
  </si>
  <si>
    <t>Head Cloth</t>
  </si>
  <si>
    <t>Indonesia, Java, North Coast, early 20th century</t>
  </si>
  <si>
    <t>early 1900s</t>
  </si>
  <si>
    <t>batik; cotton</t>
  </si>
  <si>
    <t>https://clevelandart.org/art/1925.480</t>
  </si>
  <si>
    <t>https://openaccess-cdn.clevelandart.org/1925.480/1925.480_web.jpg</t>
  </si>
  <si>
    <t>north coast</t>
  </si>
  <si>
    <t>108026</t>
  </si>
  <si>
    <t>1925.654</t>
  </si>
  <si>
    <t>tabby, brocaded; cotton</t>
  </si>
  <si>
    <t>https://clevelandart.org/art/1925.654</t>
  </si>
  <si>
    <t>https://openaccess-cdn.clevelandart.org/1925.654/1925.654_web.jpg</t>
  </si>
  <si>
    <t>108033</t>
  </si>
  <si>
    <t>1925.660</t>
  </si>
  <si>
    <t>Unfinished Cloth</t>
  </si>
  <si>
    <t>Peru, Central Coast, Chancay, Pachacamac, 12th-15th century</t>
  </si>
  <si>
    <t>tapestry weave; cotton and wool</t>
  </si>
  <si>
    <t>https://clevelandart.org/art/1925.660</t>
  </si>
  <si>
    <t>https://openaccess-cdn.clevelandart.org/1925.660/1925.660_web.jpg</t>
  </si>
  <si>
    <t>108034</t>
  </si>
  <si>
    <t>1925.661</t>
  </si>
  <si>
    <t>Fragment of a Double Cloth</t>
  </si>
  <si>
    <t>tabby weave, double cloth; cotton</t>
  </si>
  <si>
    <t>https://clevelandart.org/art/1925.661</t>
  </si>
  <si>
    <t>https://openaccess-cdn.clevelandart.org/1925.661/1925.661_web.jpg</t>
  </si>
  <si>
    <t>108038</t>
  </si>
  <si>
    <t>1925.665</t>
  </si>
  <si>
    <t>Large Cloth</t>
  </si>
  <si>
    <t>plain cloth with overlaid tapestry-like decoration; cotton and wool</t>
  </si>
  <si>
    <t>https://clevelandart.org/art/1925.665</t>
  </si>
  <si>
    <t>https://openaccess-cdn.clevelandart.org/1925.665/1925.665_web.jpg</t>
  </si>
  <si>
    <t>108042</t>
  </si>
  <si>
    <t>1925.667</t>
  </si>
  <si>
    <t>Tapestry-woven Yoke from a Tunic</t>
  </si>
  <si>
    <t>Central Andes, North Central Coast, Moche-Wari Style</t>
  </si>
  <si>
    <t>800–1200?</t>
  </si>
  <si>
    <t>camelid fiber and cotton, tapestry weave</t>
  </si>
  <si>
    <t>This fragment comes from the upper area of a tunic, with thick embroidery defining remnants of the neck opening. In the rectangular area on the chest are two similar long-tailed creatures rendered in a highly geometric style. Each is rotated 90 degrees, so their tails are parallel to the bottom edge. The cloven hooves on their upper legs may identify the creatures as deer or Andean camelids, such as llamas or alpacas.</t>
  </si>
  <si>
    <t>https://clevelandart.org/art/1925.667</t>
  </si>
  <si>
    <t>https://openaccess-cdn.clevelandart.org/1925.667/1925.667_web.jpg</t>
  </si>
  <si>
    <t>andean; andes; moche; wari</t>
  </si>
  <si>
    <t>camelid; cotton; fiber; textile; tunic; woven</t>
  </si>
  <si>
    <t>108043</t>
  </si>
  <si>
    <t>1925.668</t>
  </si>
  <si>
    <t>Tunic (Shirt) with Tapestry-woven Yoke</t>
  </si>
  <si>
    <t>Central Andes, Northern Central Coast</t>
  </si>
  <si>
    <t>650–850</t>
  </si>
  <si>
    <t>camelid fiber and cotton; tapestry-weave yoke and chest plaque, plain-weave body</t>
  </si>
  <si>
    <t>Likely an item of men’s wear, this tunic exhibits a variety of motifs. The upper panels feature an especially pronounced triangular pattern. The rectangle at the center of the chest displays a repeated frontal figure that stands out for its relatively large size and more rounded style. The surrounding elements are more right-angled, including the small figures in flanking positions and the birds in the borders.</t>
  </si>
  <si>
    <t>https://clevelandart.org/art/1925.668</t>
  </si>
  <si>
    <t>https://openaccess-cdn.clevelandart.org/1925.668/1925.668_web.jpg</t>
  </si>
  <si>
    <t>andes</t>
  </si>
  <si>
    <t>camelid; cotton; fiber; shirt; textile; tunic; woven</t>
  </si>
  <si>
    <t>108044</t>
  </si>
  <si>
    <t>1925.669</t>
  </si>
  <si>
    <t>Textile Bag</t>
  </si>
  <si>
    <t>tabby weave, warp patterned; wool</t>
  </si>
  <si>
    <t>https://clevelandart.org/art/1925.669</t>
  </si>
  <si>
    <t>https://openaccess-cdn.clevelandart.org/1925.669/1925.669_web.jpg</t>
  </si>
  <si>
    <t>textile; wool</t>
  </si>
  <si>
    <t>110055</t>
  </si>
  <si>
    <t>1928.656</t>
  </si>
  <si>
    <t>Sarong</t>
  </si>
  <si>
    <t>Indonesia, Java, North Coast, 19th century</t>
  </si>
  <si>
    <t>1800s</t>
  </si>
  <si>
    <t>batik and applied gold, cotton</t>
  </si>
  <si>
    <t>This sarong, overlaid with gold leaf (or gold dust), would have been worn for high ceremonial occasions and festivals. The gold has been applied only to the parts of the sarong that would show when draped, and on one side only. The delicate, linear design with Chinese phoenixes, butterflies, and leafy tendrils is one of the characteristic styles of batiks made in cities along the north coast of Java. The "tumpal" (triangle) design of the wide end border (a pan-Southeast Asian motif that commonly occurs on northern Javanese batiks) seems to have symbolized growth and fertility as well as the sacred mountain, Meru.</t>
  </si>
  <si>
    <t>https://clevelandart.org/art/1928.656</t>
  </si>
  <si>
    <t>https://openaccess-cdn.clevelandart.org/1928.656/1928.656_web.jpg</t>
  </si>
  <si>
    <t>110569</t>
  </si>
  <si>
    <t>1929.136</t>
  </si>
  <si>
    <t>Slendang (Shoulder Cloth)</t>
  </si>
  <si>
    <t>Indonesia, Java, North Coast, 19th - early 20th century</t>
  </si>
  <si>
    <t>1800s-early 1900s</t>
  </si>
  <si>
    <t>tabby weave, batik; silk</t>
  </si>
  <si>
    <t>Chinese people living in the coastal cities of northern Java made and traded silk batiks like this one. The silk was imported from China, and the motifs were always Chinese. The "luk wan" bird, a variation of the Chinese phoenix that occurs on this shoulder cloth, was one of the most common motifs on silk batiks, as is the greenish color of the background. The striped border was meant to simulate fringe even though each end is actually finished with fringe. Silk batiks were made for export, particularly to Bali where they were worn at festivals by wealthy people.</t>
  </si>
  <si>
    <t>https://clevelandart.org/art/1929.136</t>
  </si>
  <si>
    <t>https://openaccess-cdn.clevelandart.org/1929.136/1929.136_web.jpg</t>
  </si>
  <si>
    <t>cloth; textile</t>
  </si>
  <si>
    <t>114131</t>
  </si>
  <si>
    <t>1933.392</t>
  </si>
  <si>
    <t>Fish-Shaped Applique</t>
  </si>
  <si>
    <t>Central Andes, Central Coast, Ychsma (Pachacamac) people</t>
  </si>
  <si>
    <t>1400–1532</t>
  </si>
  <si>
    <t>cotton and camelid fiber, tapestry weave with areas of eccentric weft floats</t>
  </si>
  <si>
    <t>This fish-shaped textile was originally stitched with others like it to a mantle, a shawl-like garment that was a staple of Andean clothing. Its partial “X-ray view,” which emphasizes the bony spine, is unique to the style of the Ychsma (&lt;strong&gt;&lt;em&gt;yeach&lt;/em&gt;&lt;/strong&gt;&lt;em&gt;-mah&lt;/em&gt;), who lived on Peru’s central coast. In addition to referencing sources of food, marine subjects may also carry religious associations, as some coastal peoples of the period regarded the sea as a deity.</t>
  </si>
  <si>
    <t>https://clevelandart.org/art/1933.392</t>
  </si>
  <si>
    <t>https://openaccess-cdn.clevelandart.org/1933.392/1933.392_web.jpg</t>
  </si>
  <si>
    <t>andean; andes; peru</t>
  </si>
  <si>
    <t>camelid; cotton; fiber; garment; mantle; textile</t>
  </si>
  <si>
    <t>114132</t>
  </si>
  <si>
    <t>1933.393</t>
  </si>
  <si>
    <t>Tie-Dyed Fragment</t>
  </si>
  <si>
    <t>Peru, South Coast, Wari Culture, Middle Horizon, 8th-12th Century</t>
  </si>
  <si>
    <t>c. 700–1100 A.D.</t>
  </si>
  <si>
    <t>discontinuous warp and weft, tie-dyed; wool</t>
  </si>
  <si>
    <t>https://clevelandart.org/art/1933.393</t>
  </si>
  <si>
    <t>https://openaccess-cdn.clevelandart.org/1933.393/1933.393_web.jpg</t>
  </si>
  <si>
    <t>peru; south coast; wari</t>
  </si>
  <si>
    <t>119617</t>
  </si>
  <si>
    <t>1940.469</t>
  </si>
  <si>
    <t>Inka Khipu (Fiber Recording Device)</t>
  </si>
  <si>
    <t>Peru, Inca Period, 15th-16th Century</t>
  </si>
  <si>
    <t>c. 1400–1532</t>
  </si>
  <si>
    <t>Miscellaneous</t>
  </si>
  <si>
    <t>cords, knotted and twisted; cotton and wool</t>
  </si>
  <si>
    <t>https://clevelandart.org/art/1940.469</t>
  </si>
  <si>
    <t>https://openaccess-cdn.clevelandart.org/1940.469/1940.469_web.jpg</t>
  </si>
  <si>
    <t>inca; peru</t>
  </si>
  <si>
    <t>cotton; fiber; wool</t>
  </si>
  <si>
    <t>119652</t>
  </si>
  <si>
    <t>1940.494</t>
  </si>
  <si>
    <t>Painted Wrapping for Mummy</t>
  </si>
  <si>
    <t>c.1100–1400 A.D.</t>
  </si>
  <si>
    <t>plain cloth, painted; cotton</t>
  </si>
  <si>
    <t>https://clevelandart.org/art/1940.494</t>
  </si>
  <si>
    <t>https://openaccess-cdn.clevelandart.org/1940.494/1940.494_web.jpg</t>
  </si>
  <si>
    <t>119653</t>
  </si>
  <si>
    <t>1940.495</t>
  </si>
  <si>
    <t>Feathered Panel</t>
  </si>
  <si>
    <t>Andes, 7th-15th century</t>
  </si>
  <si>
    <t>600–1500</t>
  </si>
  <si>
    <t>feather "mosaic": feathers sewed on coarse cotton cloth</t>
  </si>
  <si>
    <t>https://clevelandart.org/art/1940.495</t>
  </si>
  <si>
    <t>https://openaccess-cdn.clevelandart.org/1940.495/1940.495_web.jpg</t>
  </si>
  <si>
    <t>119654</t>
  </si>
  <si>
    <t>1940.496</t>
  </si>
  <si>
    <t>Band</t>
  </si>
  <si>
    <t>Peru, Central Coast?, Lima?, Early Horizon?</t>
  </si>
  <si>
    <t>c. 600–400 BCE</t>
  </si>
  <si>
    <t>warp-faced weave: llama wool</t>
  </si>
  <si>
    <t>https://clevelandart.org/art/1940.496</t>
  </si>
  <si>
    <t>https://openaccess-cdn.clevelandart.org/1940.496/1940.496_web.jpg</t>
  </si>
  <si>
    <t>peru</t>
  </si>
  <si>
    <t>119655</t>
  </si>
  <si>
    <t>1940.497</t>
  </si>
  <si>
    <t>Fragmentary Mantle</t>
  </si>
  <si>
    <t>Peru, South Coast, Ica Valley ?, Inca Culture, 15th-16th century</t>
  </si>
  <si>
    <t>tapestry and fancy twill, brocaded; twill</t>
  </si>
  <si>
    <t>https://clevelandart.org/art/1940.497</t>
  </si>
  <si>
    <t>https://openaccess-cdn.clevelandart.org/1940.497/1940.497_web.jpg</t>
  </si>
  <si>
    <t>inca; peru; south coast</t>
  </si>
  <si>
    <t>mantle; textile</t>
  </si>
  <si>
    <t>119656</t>
  </si>
  <si>
    <t>1940.498</t>
  </si>
  <si>
    <t>Dress</t>
  </si>
  <si>
    <t>Peru, South Highlands or South Coast, Chuquibamba style, 12th-16th century</t>
  </si>
  <si>
    <t>c. 1100–1532</t>
  </si>
  <si>
    <t>camelid fiber; tapestry and complementary-weft weave</t>
  </si>
  <si>
    <t>https://clevelandart.org/art/1940.498</t>
  </si>
  <si>
    <t>https://openaccess-cdn.clevelandart.org/1940.498/1940.498_web.jpg</t>
  </si>
  <si>
    <t>peru; south coast</t>
  </si>
  <si>
    <t>camelid; fiber; textile</t>
  </si>
  <si>
    <t>119675</t>
  </si>
  <si>
    <t>1940.514</t>
  </si>
  <si>
    <t>Tunic</t>
  </si>
  <si>
    <t>Peru, South Coast, Ica Valley, Ocucaje site?, Paracas people</t>
  </si>
  <si>
    <t>400–200 BCE</t>
  </si>
  <si>
    <t>looped camelid fiber</t>
  </si>
  <si>
    <t>The striking, large-scale figure shown on this tunic has an elaborate, monkey-like tail as well as head appendages that mark the creature as supernatural. This tunic, a relatively rare type, was made not on a loom but rather by working the yarns into loops with a needle. It is made entirely with camelid fiber, which can readily be dyed in a range of vivid colors. The fiber comes from one of the four camels (camelids) native to the Andes Mountains—the alpaca and llama, both domesticated, and the wild guanaco and vicuña. On the coast, it represents a prestige import.</t>
  </si>
  <si>
    <t>https://clevelandart.org/art/1940.514</t>
  </si>
  <si>
    <t>https://openaccess-cdn.clevelandart.org/1940.514/1940.514_web.jpg</t>
  </si>
  <si>
    <t>andes; paracas; peru; south coast</t>
  </si>
  <si>
    <t>camelid; fiber; textile; tunic</t>
  </si>
  <si>
    <t>119676</t>
  </si>
  <si>
    <t>1940.515</t>
  </si>
  <si>
    <t>Mantle</t>
  </si>
  <si>
    <t>Peru, South Coast, Paracas</t>
  </si>
  <si>
    <t>embroidery on wool ground</t>
  </si>
  <si>
    <t>https://clevelandart.org/art/1940.515</t>
  </si>
  <si>
    <t>https://openaccess-cdn.clevelandart.org/1940.515/1940.515_web.jpg</t>
  </si>
  <si>
    <t>mantle; textile; wool</t>
  </si>
  <si>
    <t>119677</t>
  </si>
  <si>
    <t>1940.516</t>
  </si>
  <si>
    <t>Mummy Bundle "Mask"</t>
  </si>
  <si>
    <t>Peru, South Coast, Ica Valley, Ocucaje site, Paracas style</t>
  </si>
  <si>
    <t>200–1 BCE</t>
  </si>
  <si>
    <t>cotton and pigment, plain weave</t>
  </si>
  <si>
    <t>The Paracas people buried their dead in pear-shaped mummy bundles, created by carefully wrapping the seated human body in layers of garments and other textiles. Sometimes a painted cloth was placed on the outer layer at the top of the bundle, as though it served as the bundle’s face, head, or “mask.” Some cloths were painted with masklike faces, although others—such as this example—feature complete figures, which may be mythological beings with supernatural appendages.</t>
  </si>
  <si>
    <t>https://clevelandart.org/art/1940.516</t>
  </si>
  <si>
    <t>https://openaccess-cdn.clevelandart.org/1940.516/1940.516_web.jpg</t>
  </si>
  <si>
    <t>119678</t>
  </si>
  <si>
    <t>1940.517</t>
  </si>
  <si>
    <t>200 BCE–1 CE</t>
  </si>
  <si>
    <t>plain warp-faced cloth, painted</t>
  </si>
  <si>
    <t>https://clevelandart.org/art/1940.517</t>
  </si>
  <si>
    <t>https://openaccess-cdn.clevelandart.org/1940.517/1940.517_web.jpg</t>
  </si>
  <si>
    <t>119679</t>
  </si>
  <si>
    <t>1940.518</t>
  </si>
  <si>
    <t>Peru, South Coast, Ica Valley, Ocucaje site, Paracas style (700 BCE–1 CE)</t>
  </si>
  <si>
    <t>warp-faced cloth, painted: cotton</t>
  </si>
  <si>
    <t>The Paracas people of Peru's South Coast buried their dead in pear-shaped mummy bundles made of a seated human body carefully wrapped in garments and other textiles. Sometimes a painted cloth was placed at the top of the bundle, as though it served as the bundle's face, head, or "mask." The cloth was padded on the back so it curved outward like a face, and the tress-like yarns (unwoven warps) at the upper edge were arranged around a solid cotton disk that, in turn, was wrapped with a headband. Some cloths were painted with mask-like faces, and others with full figures, apparently mythical creatures.</t>
  </si>
  <si>
    <t>https://clevelandart.org/art/1940.518</t>
  </si>
  <si>
    <t>https://openaccess-cdn.clevelandart.org/1940.518/1940.518_web.jpg</t>
  </si>
  <si>
    <t>119680</t>
  </si>
  <si>
    <t>1940.519</t>
  </si>
  <si>
    <t>plain warp-faced cloth, painted: cotton</t>
  </si>
  <si>
    <t>https://clevelandart.org/art/1940.519</t>
  </si>
  <si>
    <t>https://openaccess-cdn.clevelandart.org/1940.519/1940.519_web.jpg</t>
  </si>
  <si>
    <t>119682</t>
  </si>
  <si>
    <t>1940.520</t>
  </si>
  <si>
    <t>cotton: plain warp-faced cloth, painted</t>
  </si>
  <si>
    <t>https://clevelandart.org/art/1940.520</t>
  </si>
  <si>
    <t>https://openaccess-cdn.clevelandart.org/1940.520/1940.520_web.jpg</t>
  </si>
  <si>
    <t>119683</t>
  </si>
  <si>
    <t>1940.521</t>
  </si>
  <si>
    <t>The Paracas people buried their dead in bundles that they created by carefully wrapping the seated human body in layers of garments and other textiles. In some cases, they placed a painted &lt;br&gt;cloth—such as these examples—on the outer layer and at the top of the bundle. The hair-like &lt;br&gt;yarns (unwoven warps) were arranged around a solid cotton disk that was sometimes wrapped &lt;br&gt;with a headband. The cloths, then, seem to have functioned as the bundle’s head, even though &lt;br&gt;some are painted not with faces but with complete figures whose supernatural character is marked by the appendages streaming from their bodies.</t>
  </si>
  <si>
    <t>https://clevelandart.org/art/1940.521</t>
  </si>
  <si>
    <t>https://openaccess-cdn.clevelandart.org/1940.521/1940.521_web.jpg</t>
  </si>
  <si>
    <t>119684</t>
  </si>
  <si>
    <t>1940.522</t>
  </si>
  <si>
    <t>170 BCE–70 CE (radiocarbon date, 95% probability)</t>
  </si>
  <si>
    <t>https://clevelandart.org/art/1940.522</t>
  </si>
  <si>
    <t>https://openaccess-cdn.clevelandart.org/1940.522/1940.522_web.jpg</t>
  </si>
  <si>
    <t>119685</t>
  </si>
  <si>
    <t>1940.523</t>
  </si>
  <si>
    <t>Cotton and pigment; plain weave</t>
  </si>
  <si>
    <t>https://clevelandart.org/art/1940.523</t>
  </si>
  <si>
    <t>https://openaccess-cdn.clevelandart.org/1940.523/1940.523_web.jpg</t>
  </si>
  <si>
    <t>119686</t>
  </si>
  <si>
    <t>1940.524</t>
  </si>
  <si>
    <t>https://clevelandart.org/art/1940.524</t>
  </si>
  <si>
    <t>https://openaccess-cdn.clevelandart.org/1940.524/1940.524_web.jpg</t>
  </si>
  <si>
    <t>119687</t>
  </si>
  <si>
    <t>1940.525</t>
  </si>
  <si>
    <t>https://clevelandart.org/art/1940.525</t>
  </si>
  <si>
    <t>https://openaccess-cdn.clevelandart.org/1940.525/1940.525_web.jpg</t>
  </si>
  <si>
    <t>119688</t>
  </si>
  <si>
    <t>1940.526</t>
  </si>
  <si>
    <t>The Paracas people of Peru's south coast buried their dead in pear-shaped mummy bundles made of a seated human body carefully wrapped in garments and other textiles. Sometimes a painted cloth was placed at the top of the bundle, as if serving as the bundle's face, head, or "mask." The cloth was padded on the back so it curved outward like a face, and the tress-like yarns (unwoven warps) at the upper edge were arranged around a solid cotton disk that, in turn, was wrapped with a headband. Some cloths were painted with mask-like faces, and others with full figures, apparently mythical creatures.</t>
  </si>
  <si>
    <t>https://clevelandart.org/art/1940.526</t>
  </si>
  <si>
    <t>https://openaccess-cdn.clevelandart.org/1940.526/1940.526_web.jpg</t>
  </si>
  <si>
    <t>119689</t>
  </si>
  <si>
    <t>1940.527</t>
  </si>
  <si>
    <t>https://clevelandart.org/art/1940.527</t>
  </si>
  <si>
    <t>https://openaccess-cdn.clevelandart.org/1940.527/1940.527_web.jpg</t>
  </si>
  <si>
    <t>119690</t>
  </si>
  <si>
    <t>1940.528</t>
  </si>
  <si>
    <t>Fragment of Embroidered Cloth</t>
  </si>
  <si>
    <t>c. 300–100 BCE</t>
  </si>
  <si>
    <t>embroidery on plain wool ground</t>
  </si>
  <si>
    <t>The repetition of a nonmythical figure, in this case a warrior holding spears and a trophy head, was one of the important innovations of Paracas textile design during the Late Paracas period. The trophy head cult was an essential aspect of crop fertility and was, therefore, a focal point of Paracas art in general.</t>
  </si>
  <si>
    <t>https://clevelandart.org/art/1940.528</t>
  </si>
  <si>
    <t>https://openaccess-cdn.clevelandart.org/1940.528/1940.528_web.jpg</t>
  </si>
  <si>
    <t>cloth; textile; wool</t>
  </si>
  <si>
    <t>119691</t>
  </si>
  <si>
    <t>1940.529</t>
  </si>
  <si>
    <t>Headcloth</t>
  </si>
  <si>
    <t>Peru, South Coast, Paracas, Middle Period, c. 600-400 BC (Early Horizon, Epoch 10)</t>
  </si>
  <si>
    <t>embroidery on tabby cloth; needle reseau and fringe at border</t>
  </si>
  <si>
    <t>The embroidered design consists entirely of felines, some of which are depicted with trophy heads. Both are very common motifs of Paracas art. The linear and highly stylized design as well as the limited spectrum of colors are characteristic of Paracas embroideries from the Middle Period.</t>
  </si>
  <si>
    <t>https://clevelandart.org/art/1940.529</t>
  </si>
  <si>
    <t>https://openaccess-cdn.clevelandart.org/1940.529/1940.529_web.jpg</t>
  </si>
  <si>
    <t>119693</t>
  </si>
  <si>
    <t>1940.530</t>
  </si>
  <si>
    <t>Cloth with Procession of Figures</t>
  </si>
  <si>
    <t>Central Andes, South Coast, Nasca people</t>
  </si>
  <si>
    <t>cotton and pigment (field); camelid fiber (borders and fringe)</t>
  </si>
  <si>
    <t>Experts agree that this cloth is one of the greatest paintings to survive from Andean antiquity due to the realism, complexity, large size, and refined execution of its figures. All but one of the figures wear the whiskered mouth mask of Nasca supernatural beings and several carry or wear severed human heads, which the Nasca linked to nature’s fruitfulness. Thus, the figures seem to represent supernatural forces or humans personifying such forces during a ritual devoted to agricultural fertility. Originally, the panel was attached along its upper edge to a dark blue cloth of equal size. The complete textile may have served as a mantle (a shawl-like garment), a hanging, or a funerary offering.</t>
  </si>
  <si>
    <t>https://clevelandart.org/art/1940.530</t>
  </si>
  <si>
    <t>https://openaccess-cdn.clevelandart.org/1940.530/1940.530_web.jpg</t>
  </si>
  <si>
    <t>andean; andes; nasca; south coast</t>
  </si>
  <si>
    <t>camelid; cloth; cotton; fiber; garment; mantle; textile</t>
  </si>
  <si>
    <t>119694</t>
  </si>
  <si>
    <t>1940.531</t>
  </si>
  <si>
    <t>Mummy Bundle Turban</t>
  </si>
  <si>
    <t>Peru, South Coast, Paracas, 200 BC - AD 200, modern assembly</t>
  </si>
  <si>
    <t>c. 650–100 BCE</t>
  </si>
  <si>
    <t>cotton, reed, wool, fur, feathers and other fibers</t>
  </si>
  <si>
    <t>https://clevelandart.org/art/1940.531</t>
  </si>
  <si>
    <t>https://openaccess-cdn.clevelandart.org/1940.531/1940.531_web.jpg</t>
  </si>
  <si>
    <t>124412</t>
  </si>
  <si>
    <t>1945.378</t>
  </si>
  <si>
    <t>Four-Cornered Hat</t>
  </si>
  <si>
    <t>Peru, South Coast, Wari Culture, Middle Horizon, 8th-11th Century</t>
  </si>
  <si>
    <t>needle network with cut pile: cotton and wool; reseau for top: cotton</t>
  </si>
  <si>
    <t>https://clevelandart.org/art/1945.378</t>
  </si>
  <si>
    <t>https://openaccess-cdn.clevelandart.org/1945.378/1945.378_web.jpg</t>
  </si>
  <si>
    <t>124413</t>
  </si>
  <si>
    <t>1945.379</t>
  </si>
  <si>
    <t>Mantle Corner Fragment</t>
  </si>
  <si>
    <t>700–1100 A.D.</t>
  </si>
  <si>
    <t>cotton and camelid fiber; plain weave with supplementary weft (brocade)</t>
  </si>
  <si>
    <t>https://clevelandart.org/art/1945.379</t>
  </si>
  <si>
    <t>https://openaccess-cdn.clevelandart.org/1945.379/1945.379_web.jpg</t>
  </si>
  <si>
    <t>camelid; cotton; fiber; mantle; textile</t>
  </si>
  <si>
    <t>124739</t>
  </si>
  <si>
    <t>1946.226</t>
  </si>
  <si>
    <t>Peru, South Coast, Paracas (Cavernas) style</t>
  </si>
  <si>
    <t>c. 300 BCE–200 CE</t>
  </si>
  <si>
    <t>camelid fiber: plain weave with embroidery</t>
  </si>
  <si>
    <t>Buried in shaft-tombs, or rectangular sunken chambers, the Paracas dead were wrapped in layers of cloth and accompanied by pottery, food, and other offerings. The dry environment of the Paracas Peninsula helped preserve many of these textiles, including richly ornamented garments buried with important individuals. This mantle, probably worn like a cloak, relates closely to the tunic (CMA 1946.227) and long headband (CMA 1946.228) due to their shared imagery. Its double-headed bird motifs— embroidered in vivid red, blue, yellow, and green yarns—likely had symbolic significance, although the specific meaning remains unknown.</t>
  </si>
  <si>
    <t>https://clevelandart.org/art/1946.226</t>
  </si>
  <si>
    <t>https://openaccess-cdn.clevelandart.org/1946.226/1946.226_web.jpg</t>
  </si>
  <si>
    <t>camelid; cloth; fiber; mantle; textile; tunic</t>
  </si>
  <si>
    <t>124740</t>
  </si>
  <si>
    <t>1946.227</t>
  </si>
  <si>
    <t>Alpaca wool: plain weave with embroidery and warp substitution</t>
  </si>
  <si>
    <t>Brightly dyed wool yarns found in many ancient Peruvian textiles come mainly from alpacas that were domesticated and selectively bred to produce long, soft, lustrous fiber. The finely spun yarns in a broad range of colors as seen on this tunic—well preserved after approximately 2,000 years of burial—attest to the Paracas people’s considerable artistry. A double-headed bird motif appears multiple times throughout the tunic’s design.</t>
  </si>
  <si>
    <t>https://clevelandart.org/art/1946.227</t>
  </si>
  <si>
    <t>https://openaccess-cdn.clevelandart.org/1946.227/1946.227_web.jpg</t>
  </si>
  <si>
    <t>paracas; peru; peruvian; south coast</t>
  </si>
  <si>
    <t>fiber; textile; tunic; wool</t>
  </si>
  <si>
    <t>124741</t>
  </si>
  <si>
    <t>1946.228</t>
  </si>
  <si>
    <t>Turban Band (Llauto)</t>
  </si>
  <si>
    <t>wool and cotton: needle reseau (netting)</t>
  </si>
  <si>
    <t>Repeated along the length of this headband is a double-headed bird motif, in which the two heads are seen in profile and joined to a frontal body with outstretched wings. This design also appears in the tunic (1946.227) and mantle (1946.226). These three textiles may have formed a matched set that a socially prominent Paracas man would have worn as an ensemble.</t>
  </si>
  <si>
    <t>https://clevelandart.org/art/1946.228</t>
  </si>
  <si>
    <t>https://openaccess-cdn.clevelandart.org/1946.228/1946.228_web.jpg</t>
  </si>
  <si>
    <t>cotton; mantle; textile; tunic; wool</t>
  </si>
  <si>
    <t>125095</t>
  </si>
  <si>
    <t>1946.75</t>
  </si>
  <si>
    <t>c. 700–1100</t>
  </si>
  <si>
    <t>https://clevelandart.org/art/1946.75</t>
  </si>
  <si>
    <t>https://openaccess-cdn.clevelandart.org/1946.75/1946.75_web.jpg</t>
  </si>
  <si>
    <t>125339</t>
  </si>
  <si>
    <t>1947.291</t>
  </si>
  <si>
    <t>Peru, South Coast, Wari Culture, Tiwanaku Style, Middle Horizon, 8th-12th Century</t>
  </si>
  <si>
    <t>needle network with and without cut pile: cotton and wool</t>
  </si>
  <si>
    <t>https://clevelandart.org/art/1947.291</t>
  </si>
  <si>
    <t>https://openaccess-cdn.clevelandart.org/1947.291/1947.291_web.jpg</t>
  </si>
  <si>
    <t>peru; south coast; tiwanaku; wari</t>
  </si>
  <si>
    <t>126268</t>
  </si>
  <si>
    <t>1948.478</t>
  </si>
  <si>
    <t>Border Fragment</t>
  </si>
  <si>
    <t>Peru, South Coast, Nasca</t>
  </si>
  <si>
    <t>100 BCE–700 CE</t>
  </si>
  <si>
    <t>Embroidery</t>
  </si>
  <si>
    <t>embroidery in polychrome wools on cotton foundation</t>
  </si>
  <si>
    <t>https://clevelandart.org/art/1948.478</t>
  </si>
  <si>
    <t>https://openaccess-cdn.clevelandart.org/1948.478/1948.478_web.jpg</t>
  </si>
  <si>
    <t>nasca; peru; south coast</t>
  </si>
  <si>
    <t>cotton</t>
  </si>
  <si>
    <t>126269</t>
  </si>
  <si>
    <t>1948.479</t>
  </si>
  <si>
    <t>Border Fragment with Birds and Flowers</t>
  </si>
  <si>
    <t>camelid fiber, cross-knit looping (reversible)</t>
  </si>
  <si>
    <t>https://clevelandart.org/art/1948.479</t>
  </si>
  <si>
    <t>https://openaccess-cdn.clevelandart.org/1948.479/1948.479_web.jpg</t>
  </si>
  <si>
    <t>camelid; fiber</t>
  </si>
  <si>
    <t>126271</t>
  </si>
  <si>
    <t>1948.480</t>
  </si>
  <si>
    <t>https://clevelandart.org/art/1948.480</t>
  </si>
  <si>
    <t>https://openaccess-cdn.clevelandart.org/1948.480/1948.480_web.jpg</t>
  </si>
  <si>
    <t>126272</t>
  </si>
  <si>
    <t>1948.481</t>
  </si>
  <si>
    <t>embroidery of polychrome wools on cotton foundation</t>
  </si>
  <si>
    <t>https://clevelandart.org/art/1948.481</t>
  </si>
  <si>
    <t>https://openaccess-cdn.clevelandart.org/1948.481/1948.481_web.jpg</t>
  </si>
  <si>
    <t>126273</t>
  </si>
  <si>
    <t>1948.482</t>
  </si>
  <si>
    <t>https://clevelandart.org/art/1948.482</t>
  </si>
  <si>
    <t>https://openaccess-cdn.clevelandart.org/1948.482/1948.482_web.jpg</t>
  </si>
  <si>
    <t>126684</t>
  </si>
  <si>
    <t>1949.12</t>
  </si>
  <si>
    <t>Tunic with Profile Animal and Human Heads</t>
  </si>
  <si>
    <t>tapestry weave: wool</t>
  </si>
  <si>
    <t>Wari tunics are made of two long panels folded at the shoulder line and stitched together at center and side seams, with openings left for the head and arms. The looms on which the panels were woven measured about 80 x 20 inches, with the warps spanning the short dimension. Thus, the warps are horizontal rather than vertical in the garment as it was worn. This orientation is unusual and seems to have influenced the construction of later Inca tunics. In this example, the imagery comprises two profile heads that alternate, one a human and the other an animal that may represent a deer or a bat. Such tunics were luxury goods worn only by privileged individuals.</t>
  </si>
  <si>
    <t>https://clevelandart.org/art/1949.12</t>
  </si>
  <si>
    <t>https://openaccess-cdn.clevelandart.org/1949.12/1949.12_web.jpg</t>
  </si>
  <si>
    <t>inca; peru; south coast; wari</t>
  </si>
  <si>
    <t>garment; textile; tunic; wool; woven</t>
  </si>
  <si>
    <t>126795</t>
  </si>
  <si>
    <t>1949.192</t>
  </si>
  <si>
    <t>Peru, South Coast, Ica Valley, Inca Culture, 15th-16th century</t>
  </si>
  <si>
    <t>camelid fiber</t>
  </si>
  <si>
    <t>https://clevelandart.org/art/1949.192</t>
  </si>
  <si>
    <t>https://openaccess-cdn.clevelandart.org/1949.192/1949.192_web.jpg</t>
  </si>
  <si>
    <t>126796</t>
  </si>
  <si>
    <t>1949.193</t>
  </si>
  <si>
    <t>sides: cotton and wool plain cloth, brocaded; top: wool fancy cloth (?)</t>
  </si>
  <si>
    <t>https://clevelandart.org/art/1949.193</t>
  </si>
  <si>
    <t>https://openaccess-cdn.clevelandart.org/1949.193/1949.193_web.jpg</t>
  </si>
  <si>
    <t>128181</t>
  </si>
  <si>
    <t>1951.173</t>
  </si>
  <si>
    <t>Medallion, beads, and spindle whorls</t>
  </si>
  <si>
    <t>Central Andes, North Coast, Chimú (medallion)</t>
  </si>
  <si>
    <t>1000–1532 (medallion)</t>
  </si>
  <si>
    <t>Jewelry</t>
  </si>
  <si>
    <t>bronze, copper, silver</t>
  </si>
  <si>
    <t>This medallion and dozens of smaller beads and spindle whorls arrived at the museum strung on modern cord. Pierced with a hole at the top, it could have been suspended from a necklace or attached to a backing, such as a textile. It comes from Peru’s north coast and was made in the late pre-Hispanic period; the dates of the smaller beads are less clear.</t>
  </si>
  <si>
    <t>https://clevelandart.org/art/1951.173</t>
  </si>
  <si>
    <t>https://openaccess-cdn.clevelandart.org/1951.173/1951.173_web.jpg</t>
  </si>
  <si>
    <t>andes; north coast; peru</t>
  </si>
  <si>
    <t>textile</t>
  </si>
  <si>
    <t>128454</t>
  </si>
  <si>
    <t>1951.393</t>
  </si>
  <si>
    <t>Half Tunic</t>
  </si>
  <si>
    <t>Peru, South Coast, Inca Culture, Colonial Period, 16th century</t>
  </si>
  <si>
    <t>16th century</t>
  </si>
  <si>
    <t>interlocked tapestry; cotton and wool</t>
  </si>
  <si>
    <t>The "t'oqapu" waistband and the deep V-yoke were standard decorations of Inca tunics. However, the fantastic animals represented in the yoke and the floral motifs in the main field identify this tunic as dating after the Spanish Conquest in 1532.</t>
  </si>
  <si>
    <t>https://clevelandart.org/art/1951.393</t>
  </si>
  <si>
    <t>https://openaccess-cdn.clevelandart.org/1951.393/1951.393_web.jpg</t>
  </si>
  <si>
    <t>cotton; textile; tunic; wool</t>
  </si>
  <si>
    <t>130555</t>
  </si>
  <si>
    <t>1953.288</t>
  </si>
  <si>
    <t>Peru, North Coast, Chimu-Inka</t>
  </si>
  <si>
    <t>1460–1632 (radiocarbon date, 95% probability)</t>
  </si>
  <si>
    <t>plain tabby, brocaded: wool and cotton</t>
  </si>
  <si>
    <t>https://clevelandart.org/art/1953.288</t>
  </si>
  <si>
    <t>https://openaccess-cdn.clevelandart.org/1953.288/1953.288_web.jpg</t>
  </si>
  <si>
    <t>chimu; north coast; peru</t>
  </si>
  <si>
    <t>130762</t>
  </si>
  <si>
    <t>1953.475</t>
  </si>
  <si>
    <t>Band with Trophy Heads</t>
  </si>
  <si>
    <t>interlocking warp and weft, single interlock: wool</t>
  </si>
  <si>
    <t>This band, remarkable for its intense color and spider-web sheerness, was created using an unusual technique known as discontinuous warp and weft. That is, none of the vertical or horizontal yarns are continuous from one side of the band to the other. Rather, they travel back and forth within their own color areas, linking at the edges with yarns in adjacent areas. This is a difficult feat when weaving on a loom and the creator likely used another approach, such as darning with a needle over a ground cloth that was then removed. The image repeated in each of the band’s rectangles is a head supported on two little feet.</t>
  </si>
  <si>
    <t>https://clevelandart.org/art/1953.475</t>
  </si>
  <si>
    <t>https://openaccess-cdn.clevelandart.org/1953.475/1953.475_web.jpg</t>
  </si>
  <si>
    <t>cloth; textile; weaving; wool</t>
  </si>
  <si>
    <t>132125</t>
  </si>
  <si>
    <t>1954.68</t>
  </si>
  <si>
    <t>Lower Border of a Garment</t>
  </si>
  <si>
    <t>Central Andes, North Coast, Chimú or Lambayeque (Sican) People</t>
  </si>
  <si>
    <t>1000–1470s</t>
  </si>
  <si>
    <t>tapestry; wool and cotton</t>
  </si>
  <si>
    <t>https://clevelandart.org/art/1954.68</t>
  </si>
  <si>
    <t>https://openaccess-cdn.clevelandart.org/1954.68/1954.68_web.jpg</t>
  </si>
  <si>
    <t>andes; north coast</t>
  </si>
  <si>
    <t>cotton; garment; textile; wool</t>
  </si>
  <si>
    <t>134395</t>
  </si>
  <si>
    <t>1956.84</t>
  </si>
  <si>
    <t>tapestry; interlocked wefts and areas of eccentric weaving: wool and cotton</t>
  </si>
  <si>
    <t>https://clevelandart.org/art/1956.84</t>
  </si>
  <si>
    <t>https://openaccess-cdn.clevelandart.org/1956.84/1956.84_web.jpg</t>
  </si>
  <si>
    <t>cotton; textile; tunic; weaving; wool</t>
  </si>
  <si>
    <t>134604</t>
  </si>
  <si>
    <t>1957.136</t>
  </si>
  <si>
    <t>Peru, Inca, 15th-16th century</t>
  </si>
  <si>
    <t>c. 1400–1540</t>
  </si>
  <si>
    <t>tapestry; cotton and camelid fiber</t>
  </si>
  <si>
    <t>Finely woven interlocked tapestry garments were a privilege of the nobility within the Inca Empire. Such garments were made throughout the vast Inca territory by women of noble families, by professional weavers, and by the Aclla (Chosen Women). These specialists lived in cloistered communities and served the state by brewing beer and weaving fine cloth. The products of their labor were redistributed by the Inca state as prized gifts to loyal vassals and allies. The standardized decorative scheme of this tunic, known as the Inca Key, is one of the most common Inca tunic patterns.</t>
  </si>
  <si>
    <t>https://clevelandart.org/art/1957.136</t>
  </si>
  <si>
    <t>https://openaccess-cdn.clevelandart.org/1957.136/1957.136_web.jpg</t>
  </si>
  <si>
    <t>camelid; cloth; cotton; fiber; textile; tunic; weaving; woven</t>
  </si>
  <si>
    <t>134765</t>
  </si>
  <si>
    <t>1957.340</t>
  </si>
  <si>
    <t>Peru, South Coast, Nasca-Huari style</t>
  </si>
  <si>
    <t>c. 600–700</t>
  </si>
  <si>
    <t>interlocking warp and weft: wool</t>
  </si>
  <si>
    <t>https://clevelandart.org/art/1957.340</t>
  </si>
  <si>
    <t>https://openaccess-cdn.clevelandart.org/1957.340/1957.340_web.jpg</t>
  </si>
  <si>
    <t>huari; nasca; peru; south coast</t>
  </si>
  <si>
    <t>134948</t>
  </si>
  <si>
    <t>1957.495</t>
  </si>
  <si>
    <t>Tapestry Square Panel</t>
  </si>
  <si>
    <t>Tapestry</t>
  </si>
  <si>
    <t>tapestry with interlocked wefts: wool and cotton</t>
  </si>
  <si>
    <t>https://clevelandart.org/art/1957.495</t>
  </si>
  <si>
    <t>https://openaccess-cdn.clevelandart.org/1957.495/1957.495_web.jpg</t>
  </si>
  <si>
    <t>cotton; wool</t>
  </si>
  <si>
    <t>135408</t>
  </si>
  <si>
    <t>1958.412</t>
  </si>
  <si>
    <t>Feathered Tabard or Tunic</t>
  </si>
  <si>
    <t>feather mosaic on cotton</t>
  </si>
  <si>
    <t>https://clevelandart.org/art/1958.412</t>
  </si>
  <si>
    <t>https://openaccess-cdn.clevelandart.org/1958.412/1958.412_web.jpg</t>
  </si>
  <si>
    <t>cotton; textile; tunic</t>
  </si>
  <si>
    <t>137312</t>
  </si>
  <si>
    <t>1962.240</t>
  </si>
  <si>
    <t>Embroidered Fragment</t>
  </si>
  <si>
    <t>wool embroidery on wool tabby ground</t>
  </si>
  <si>
    <t>https://clevelandart.org/art/1962.240</t>
  </si>
  <si>
    <t>https://openaccess-cdn.clevelandart.org/1962.240/1962.240_web.jpg</t>
  </si>
  <si>
    <t>wool</t>
  </si>
  <si>
    <t>149062</t>
  </si>
  <si>
    <t>1977.190</t>
  </si>
  <si>
    <t>tapestry: cotton and wool</t>
  </si>
  <si>
    <t>https://clevelandart.org/art/1977.190</t>
  </si>
  <si>
    <t>https://openaccess-cdn.clevelandart.org/1977.190/1977.190_web.jpg</t>
  </si>
  <si>
    <t>152258</t>
  </si>
  <si>
    <t>1985.139</t>
  </si>
  <si>
    <t>Two Textile Fragment with Fanged Heads</t>
  </si>
  <si>
    <t>Peru, South Coast, Ica Valley, Chavín style</t>
  </si>
  <si>
    <t>500–200 BCE</t>
  </si>
  <si>
    <t>cotton: plain weave patterned by fiber-wrapped warps and supplementary wefts</t>
  </si>
  <si>
    <t>These two rare fragments of equal size and mounted side by side feature fanged heads connected by a fanged mouth band. Each band ascends as a column above a rectangular, disembodied eye that implies the original presence of large figures or heads beneath the bands. Fanged heads are common markers of the supernatural in Chavín art, an early style that developed in the highlands of Peru. The original textile may have served as a ceremonial wall hanging.</t>
  </si>
  <si>
    <t>https://clevelandart.org/art/1985.139</t>
  </si>
  <si>
    <t>https://openaccess-cdn.clevelandart.org/1985.139/1985.139_web.jpg</t>
  </si>
  <si>
    <t>cotton; fiber; textile</t>
  </si>
  <si>
    <t>152334</t>
  </si>
  <si>
    <t>1985.193</t>
  </si>
  <si>
    <t>Mantle Border Fragment with Oculate Being</t>
  </si>
  <si>
    <t>Peru, South Coast, Paracas (Cavernas) style (700 BCE–1 CE)</t>
  </si>
  <si>
    <t>200 BCE–200 CE</t>
  </si>
  <si>
    <t>camelid fiber, embroidery over foundation cloth</t>
  </si>
  <si>
    <t>This border fragment features a supernatural being apparently at the center of a religion that swept the south coast during the final stages of the Paracas culture. Known as the Oculate Being after its huge eyes, it is affiliated with fertility and violence—note the darts it holds in one hand. Both large and small versions of the being are embroidered on the fragment, which likely comes from the border of a large, rectangular, shawl-like garment known as a mantle.</t>
  </si>
  <si>
    <t>https://clevelandart.org/art/1985.193</t>
  </si>
  <si>
    <t>https://openaccess-cdn.clevelandart.org/1985.193/1985.193_web.jpg</t>
  </si>
  <si>
    <t>camelid; cloth; fiber; garment; mantle; textile</t>
  </si>
  <si>
    <t>152819</t>
  </si>
  <si>
    <t>1985.7</t>
  </si>
  <si>
    <t>Two Tapestry-woven Panel Fragments</t>
  </si>
  <si>
    <t>Central Andes, North Coast, Chimú people</t>
  </si>
  <si>
    <t>1000–1460s</t>
  </si>
  <si>
    <t>These two fragments, mounted side-by-side, come from the Chimú (&lt;em&gt;chee-&lt;/em&gt;&lt;strong&gt;&lt;em&gt;moo&lt;/em&gt;&lt;/strong&gt;) Empire of Peru’s north coast. Each features horizontal rows containing four frontal figures. The rows alternate with wider registers, each with an H shape that represents a litter seen from above. A form of transport reserved for only the most esteemed members of society, the litter would have been carried by human porters via poles at each corner. Scattered around each are small creatures, including birds, a fish (located beneath), and two insect-like creatures posed as if they were carrying the litter. The objects hovering above the litter have not been identified.</t>
  </si>
  <si>
    <t>https://clevelandart.org/art/1985.7</t>
  </si>
  <si>
    <t>https://openaccess-cdn.clevelandart.org/1985.7/1985.7_web.jpg</t>
  </si>
  <si>
    <t>camelid; cotton; fiber; woven</t>
  </si>
  <si>
    <t>155505</t>
  </si>
  <si>
    <t>1990.225</t>
  </si>
  <si>
    <t>Textile Fragment</t>
  </si>
  <si>
    <t>Peru, North Coast, 9th-12th Century</t>
  </si>
  <si>
    <t>800–1100</t>
  </si>
  <si>
    <t>slit tapestry, cotton warp, camelid-fiber wefts</t>
  </si>
  <si>
    <t>https://clevelandart.org/art/1990.225</t>
  </si>
  <si>
    <t>https://openaccess-cdn.clevelandart.org/1990.225/1990.225_web.jpg</t>
  </si>
  <si>
    <t>camelid; cotton; fiber; textile</t>
  </si>
  <si>
    <t>155829</t>
  </si>
  <si>
    <t>1991.141</t>
  </si>
  <si>
    <t>Male Figure with Modern Additions</t>
  </si>
  <si>
    <t>Peru, Central Coast, Chancay people</t>
  </si>
  <si>
    <t>1100–1500</t>
  </si>
  <si>
    <t>Original elements include the head and tunic; added elements include the skirt, red fringe, and belt; Cotton, camelid fiber, reeds; Slit tapestry (tunic and face); plain weave with supplementary weft (skirt)</t>
  </si>
  <si>
    <t>https://clevelandart.org/art/1991.141</t>
  </si>
  <si>
    <t>https://openaccess-cdn.clevelandart.org/1991.141/1991.141_web.jpg</t>
  </si>
  <si>
    <t>camelid; cotton; fiber; tunic</t>
  </si>
  <si>
    <t>155934</t>
  </si>
  <si>
    <t>1991.223</t>
  </si>
  <si>
    <t>Tapestry Fragment</t>
  </si>
  <si>
    <t>Peru, North Coast, Lambayeque (Sicán) people</t>
  </si>
  <si>
    <t>700–1370s</t>
  </si>
  <si>
    <t>The prominent figure with an elaborate headdress duplicated on this brightly colored fragment is known today as a “Lord,” a term that reveals uncertainty about his identity but confidence in his prestige. Whether a king or a deity, he was crucially important to the north coast Lambayeque (lahm-buy-YEK-kay) (Sicán) people, who often portrayed him in a wide range of media. The geometric motif that repeats in the nine central squares is unidentified.</t>
  </si>
  <si>
    <t>https://clevelandart.org/art/1991.223</t>
  </si>
  <si>
    <t>https://openaccess-cdn.clevelandart.org/1991.223/1991.223_web.jpg</t>
  </si>
  <si>
    <t>camelid; cotton; fiber</t>
  </si>
  <si>
    <t>156237</t>
  </si>
  <si>
    <t>1992.103</t>
  </si>
  <si>
    <t>Tapestry Panel</t>
  </si>
  <si>
    <t>Peru, Central Coast, Chancay-Chimú style, 11th-15th century</t>
  </si>
  <si>
    <t>The design of this panel depends on the repetition of a single motif: a small, geometricized head set inside a stepped V, which seems to represent the stylized bodies and wings of two birds. This motif, woven in different color combinations, alternates between up and down to form a sophisticated interlocking pattern that has no proper top and bottom. The panel probably once belonged to a garment.</t>
  </si>
  <si>
    <t>https://clevelandart.org/art/1992.103</t>
  </si>
  <si>
    <t>https://openaccess-cdn.clevelandart.org/1992.103/1992.103_web.jpg</t>
  </si>
  <si>
    <t>camelid; cotton; fiber; garment; woven</t>
  </si>
  <si>
    <t>156248</t>
  </si>
  <si>
    <t>1992.104</t>
  </si>
  <si>
    <t>black and white feathers sewn to cotton tabby ground</t>
  </si>
  <si>
    <t>https://clevelandart.org/art/1992.104</t>
  </si>
  <si>
    <t>https://openaccess-cdn.clevelandart.org/1992.104/1992.104_web.jpg</t>
  </si>
  <si>
    <t>156260</t>
  </si>
  <si>
    <t>1992.105</t>
  </si>
  <si>
    <t>polychrome feathers sewn to cotton tabby ground</t>
  </si>
  <si>
    <t>https://clevelandart.org/art/1992.105</t>
  </si>
  <si>
    <t>https://openaccess-cdn.clevelandart.org/1992.105/1992.105_web.jpg</t>
  </si>
  <si>
    <t>156519</t>
  </si>
  <si>
    <t>1992.231.1</t>
  </si>
  <si>
    <t>tapestry weave</t>
  </si>
  <si>
    <t>https://clevelandart.org/art/1992.231.1</t>
  </si>
  <si>
    <t>https://openaccess-cdn.clevelandart.org/1992.231.1/1992.231.1_web.jpg</t>
  </si>
  <si>
    <t>156520</t>
  </si>
  <si>
    <t>1992.231.2</t>
  </si>
  <si>
    <t>double cloth</t>
  </si>
  <si>
    <t>https://clevelandart.org/art/1992.231.2</t>
  </si>
  <si>
    <t>https://openaccess-cdn.clevelandart.org/1992.231.2/1992.231.2_web.jpg</t>
  </si>
  <si>
    <t>157111</t>
  </si>
  <si>
    <t>1993.242</t>
  </si>
  <si>
    <t>Triple Cloth</t>
  </si>
  <si>
    <t>Peru, Recuay</t>
  </si>
  <si>
    <t>400 BCE–700 CE</t>
  </si>
  <si>
    <t>triple cloth: wool</t>
  </si>
  <si>
    <t>https://clevelandart.org/art/1993.242</t>
  </si>
  <si>
    <t>https://openaccess-cdn.clevelandart.org/1993.242/1993.242_web.jpg</t>
  </si>
  <si>
    <t>157112</t>
  </si>
  <si>
    <t>1993.243</t>
  </si>
  <si>
    <t>Double Cloth</t>
  </si>
  <si>
    <t>https://clevelandart.org/art/1993.243</t>
  </si>
  <si>
    <t>https://openaccess-cdn.clevelandart.org/1993.243/1993.243_web.jpg</t>
  </si>
  <si>
    <t>159632</t>
  </si>
  <si>
    <t>1996.348</t>
  </si>
  <si>
    <t>Fragments of a Belt</t>
  </si>
  <si>
    <t>Peru, South Andes, Tiwanaku style</t>
  </si>
  <si>
    <t>c. 400</t>
  </si>
  <si>
    <t>camelid wool; tapestry</t>
  </si>
  <si>
    <t>https://clevelandart.org/art/1996.348</t>
  </si>
  <si>
    <t>https://openaccess-cdn.clevelandart.org/1996.348/1996.348_web.jpg</t>
  </si>
  <si>
    <t>andes; peru; tiwanaku</t>
  </si>
  <si>
    <t>camelid; textile; wool</t>
  </si>
  <si>
    <t>159633</t>
  </si>
  <si>
    <t>1996.348.a</t>
  </si>
  <si>
    <t>Fragment of a Belt</t>
  </si>
  <si>
    <t>https://clevelandart.org/art/1996.348.a</t>
  </si>
  <si>
    <t>https://openaccess-cdn.clevelandart.org/1996.348.a/1996.348.a_web.jpg</t>
  </si>
  <si>
    <t>159634</t>
  </si>
  <si>
    <t>1996.348.b</t>
  </si>
  <si>
    <t>https://clevelandart.org/art/1996.348.b</t>
  </si>
  <si>
    <t>https://openaccess-cdn.clevelandart.org/1996.348.b/1996.348.b_web.jpg</t>
  </si>
  <si>
    <t>159839</t>
  </si>
  <si>
    <t>1997.150</t>
  </si>
  <si>
    <t>Peru, South Andes or Chile, Northern Andes, Tiwanaku style, 5th-10th Century</t>
  </si>
  <si>
    <t>c. 400–1000</t>
  </si>
  <si>
    <t>alpaca</t>
  </si>
  <si>
    <t>A distinctive type of Tiwanaku and Wari headgear was a hat with four ear-like peaks rising from the corners. Depicted on warriors and other men who wear prestigious clothing and ornaments, the hats were made with knots, visible on all sides of this handsome Tiwanaku example. The hat is decorated with a pattern that includes a profile bird head.</t>
  </si>
  <si>
    <t>https://clevelandart.org/art/1997.150</t>
  </si>
  <si>
    <t>https://openaccess-cdn.clevelandart.org/1997.150/1997.150_web.jpg</t>
  </si>
  <si>
    <t>andes; peru; tiwanaku; wari</t>
  </si>
  <si>
    <t>160691</t>
  </si>
  <si>
    <t>1998.52</t>
  </si>
  <si>
    <t>Trapezoidal Bag</t>
  </si>
  <si>
    <t>Peru, South Coast, Arica culture, or Chile, North Coast, 13th-15th century</t>
  </si>
  <si>
    <t>1200–1400</t>
  </si>
  <si>
    <t>alpaca wool</t>
  </si>
  <si>
    <t>https://clevelandart.org/art/1998.52</t>
  </si>
  <si>
    <t>https://openaccess-cdn.clevelandart.org/1998.52/1998.52_web.jpg</t>
  </si>
  <si>
    <t>north coast; peru; south coast</t>
  </si>
  <si>
    <t>160692</t>
  </si>
  <si>
    <t>1998.53</t>
  </si>
  <si>
    <t>https://clevelandart.org/art/1998.53</t>
  </si>
  <si>
    <t>https://openaccess-cdn.clevelandart.org/1998.53/1998.53_web.jpg</t>
  </si>
  <si>
    <t>162398</t>
  </si>
  <si>
    <t>2002.93</t>
  </si>
  <si>
    <t>Peru, Far South Coast, Pampa Ocoña, 7th-10th century</t>
  </si>
  <si>
    <t>600–900</t>
  </si>
  <si>
    <t>Papagayo macaw feathers knotted onto strings and stitched to cotton plain-weave cloth; camelid fiber plain-weave cloth upper tape</t>
  </si>
  <si>
    <t>Of all the luxury textile types made in the ancient Andes, feathered cloth was one of the most esteemed. This panel may come from a buried offering that contained more than a half-dozen large human-effigy vessels made of ceramic; inside the vessels were 96 rolled panels, all covered with the feathers of the tropical blue-and-yellow macaw. The ties that survive on the upper corners of some panels suggest they served as hangings that transformed a space from mundane to radiant and ceremonial.</t>
  </si>
  <si>
    <t>https://clevelandart.org/art/2002.93</t>
  </si>
  <si>
    <t>https://openaccess-cdn.clevelandart.org/2002.93/2002.93_web.jpg</t>
  </si>
  <si>
    <t>andes; peru; south coast</t>
  </si>
  <si>
    <t>camelid; cloth; cotton; fiber; textile</t>
  </si>
  <si>
    <t>163622</t>
  </si>
  <si>
    <t>2005.13</t>
  </si>
  <si>
    <t>Textile Fragment with Three Frontal Deities and Interlace Pattern</t>
  </si>
  <si>
    <t>Peru, South Coast, Paracas (700 BC -AD 1), Yauca Valley?</t>
  </si>
  <si>
    <t>700–400 BCE</t>
  </si>
  <si>
    <t>camelid fiber; double-cloth with structural embroidery</t>
  </si>
  <si>
    <t>This textile fragment and (2005.14), belong to a group that represents Andean weavers’ earliest known achievements in double cloth, a technique that allows the creation of identical designs on both faces of the cloth but in reversed colors. They also record the devotion to abstraction typical of the Paracas style. One features three repeats of a highly geometrical standing deity with a fanged mouth. The other includes several stylized deity heads and a blocky, frontally posed feline. The type of garment that these fragments come from remains &lt;br&gt;unknown.</t>
  </si>
  <si>
    <t>https://clevelandart.org/art/2005.13</t>
  </si>
  <si>
    <t>https://openaccess-cdn.clevelandart.org/2005.13/2005.13_web.jpg</t>
  </si>
  <si>
    <t>andean; paracas; peru; south coast</t>
  </si>
  <si>
    <t>camelid; cloth; fiber; garment; textile</t>
  </si>
  <si>
    <t>163640</t>
  </si>
  <si>
    <t>2005.14</t>
  </si>
  <si>
    <t>Textile Fragment with Frontal Deity Heads, Felines, and Interlace Pattern</t>
  </si>
  <si>
    <t>Peru, South Coast, Paracas, Yauca Valley(?)</t>
  </si>
  <si>
    <t>This textile fragment and (2005.13), belong to a group that represents Andean weavers’ earliest known achievements in double cloth, a technique that allows the creation of identical designs on both faces of the cloth but in reversed colors. They also record the devotion to abstraction typical of the Paracas style. One features three repeats of a highly geometrical standing deity with a fanged mouth. The other includes several stylized deity heads and a blocky, frontally posed feline. The type of garment that these fragments come from remains &lt;br&gt;unknown.</t>
  </si>
  <si>
    <t>https://clevelandart.org/art/2005.14</t>
  </si>
  <si>
    <t>https://openaccess-cdn.clevelandart.org/2005.14/2005.14_web.jpg</t>
  </si>
  <si>
    <t>163676</t>
  </si>
  <si>
    <t>2005.15</t>
  </si>
  <si>
    <t>Textile Fragment with Interlace Pattern</t>
  </si>
  <si>
    <t>camelid fiber and cotton; brocaded plain-weave</t>
  </si>
  <si>
    <t>https://clevelandart.org/art/2005.15</t>
  </si>
  <si>
    <t>https://openaccess-cdn.clevelandart.org/2005.15/2005.15_web.jpg</t>
  </si>
  <si>
    <t>163708</t>
  </si>
  <si>
    <t>2005.16</t>
  </si>
  <si>
    <t>Tunic with Profile Animals and Checkerboards</t>
  </si>
  <si>
    <t>Peru, South Coast, Paracas or Nasca?</t>
  </si>
  <si>
    <t>410–540 CE (radiocarbon date, 93% probability)</t>
  </si>
  <si>
    <t>cotton; dye-patterned plain weave</t>
  </si>
  <si>
    <t>The imagery in the central field of this unique tunic—animals with long tails and three-toed feet—seems to have been created by painting a slurry-like material on the pale areas to protect them when the fabric was immersed in a bath that turned other areas light brown. Then the slurry was removed, revealing the pattern. The checkerboard areas at the sides, on the other hand, are woven with brown and cream-colored yarns. Specialists puzzle over the origins of the tunic, some attributing it to the Paracas (700 BCE–1 CE) and others to the Nasca (100 BCE–650 CE), who sprang from Paracas roots.</t>
  </si>
  <si>
    <t>https://clevelandart.org/art/2005.16</t>
  </si>
  <si>
    <t>https://openaccess-cdn.clevelandart.org/2005.16/2005.16_web.jpg</t>
  </si>
  <si>
    <t>nasca; paracas; peru; south coast</t>
  </si>
  <si>
    <t>cotton; textile; tunic; woven</t>
  </si>
  <si>
    <t>163724</t>
  </si>
  <si>
    <t>2005.17</t>
  </si>
  <si>
    <t>Tunic with Double-headed Serpents</t>
  </si>
  <si>
    <t>Peru, South Coast, Ica Valley, Ocucaje site?, Paracas people (700 BCE-1 CE)</t>
  </si>
  <si>
    <t>cotton; gauze</t>
  </si>
  <si>
    <t>Gauze weave was used to pattern this tunic with interlocking, double-headed serpents that may &lt;br&gt;have had mythical or supernatural significance. By manipulating the density of the fabric to create the design, the weaver may have sidestepped a limitation of cotton, which did not readily take dyes.</t>
  </si>
  <si>
    <t>https://clevelandart.org/art/2005.17</t>
  </si>
  <si>
    <t>https://openaccess-cdn.clevelandart.org/2005.17/2005.17_web.jpg</t>
  </si>
  <si>
    <t>163758</t>
  </si>
  <si>
    <t>2005.18</t>
  </si>
  <si>
    <t>Panel from the End of a Sash</t>
  </si>
  <si>
    <t>Peru, South Coast, Paracas, Carhua or Chucho?</t>
  </si>
  <si>
    <t>700–1 BCE</t>
  </si>
  <si>
    <t>cotton; camelid fiber; tapestry and plain-weave</t>
  </si>
  <si>
    <t>https://clevelandart.org/art/2005.18</t>
  </si>
  <si>
    <t>https://openaccess-cdn.clevelandart.org/2005.18/2005.18_web.jpg</t>
  </si>
  <si>
    <t>163781</t>
  </si>
  <si>
    <t>2005.19</t>
  </si>
  <si>
    <t>Fragment of a Mantle with Oculate Being</t>
  </si>
  <si>
    <t>Peru, South Coast, Paracas, Carhua?</t>
  </si>
  <si>
    <t>cotton; double-cloth</t>
  </si>
  <si>
    <t>https://clevelandart.org/art/2005.19</t>
  </si>
  <si>
    <t>https://openaccess-cdn.clevelandart.org/2005.19/2005.19_web.jpg</t>
  </si>
  <si>
    <t>cloth; cotton; mantle; textile</t>
  </si>
  <si>
    <t>164419</t>
  </si>
  <si>
    <t>2005.5</t>
  </si>
  <si>
    <t>Peruvian Textiles: Mantle or Hanging, Loincloth, Turban, Padded Hat, Band with Tassels</t>
  </si>
  <si>
    <t>Peru, North Coast, Chimú style, 1200-1460s</t>
  </si>
  <si>
    <t>1405–1640</t>
  </si>
  <si>
    <t>cotton; plain weave, brocaded and complex alternating gauze with 3 or 5 shots of plain weave between gauze shots</t>
  </si>
  <si>
    <t>Although these textiles are similar in appearance and technical features, it is not clear that they were found or used together. They are said to come from the region of Chan Chan, the capital of the Chimú Empire. To see the record for each, click “see all set records,” above.</t>
  </si>
  <si>
    <t>https://clevelandart.org/art/2005.5</t>
  </si>
  <si>
    <t>https://openaccess-cdn.clevelandart.org/2005.5/2005.5_web.jpg</t>
  </si>
  <si>
    <t>north coast; peru; peruvian</t>
  </si>
  <si>
    <t>cotton; mantle; textile</t>
  </si>
  <si>
    <t>164420</t>
  </si>
  <si>
    <t>2005.5.1</t>
  </si>
  <si>
    <t>Mantle or Hanging</t>
  </si>
  <si>
    <t>1480–1635 (radiocarbon date, 95.4% probability)</t>
  </si>
  <si>
    <t>This garment embodies an important principle of the Chimú textile aesthetic: a love of combining different textures, some dense and sculptural and others so open and airy they are nearly invisible. (The hand-spun yarns are only .1 to .2 millimeters in diameter.) It also elegantly articulates the simplified, spare visual vocabulary that the Chimú favored, here geometric motifs.</t>
  </si>
  <si>
    <t>https://clevelandart.org/art/2005.5.1</t>
  </si>
  <si>
    <t>https://openaccess-cdn.clevelandart.org/2005.5.1/2005.5.1_web.jpg</t>
  </si>
  <si>
    <t>cotton; garment; mantle; textile</t>
  </si>
  <si>
    <t>164421</t>
  </si>
  <si>
    <t>2005.5.2</t>
  </si>
  <si>
    <t>Loincloth</t>
  </si>
  <si>
    <t>Peru, North Coast, Chimú style, 1200–1460s</t>
  </si>
  <si>
    <t>1425–1500 (radiocarbon date, 92.3% probability)</t>
  </si>
  <si>
    <t>Garment</t>
  </si>
  <si>
    <t>cotton; plain weave, brocaded and complex alternating gauze with 5 shots of plain weave between gauze shots</t>
  </si>
  <si>
    <t>Loincloths were basic men’s wear in ancient Peru. But the extraordinary size of some examples—this one is about eight feet long, unfolded—makes it difficult to know how they were worn, except that they were tied around the waist with the decorated panels hanging at the front and back of the body. The appearance may have been that of a billowing skirt.</t>
  </si>
  <si>
    <t>https://clevelandart.org/art/2005.5.2</t>
  </si>
  <si>
    <t>https://openaccess-cdn.clevelandart.org/2005.5.2/2005.5.2_web.jpg</t>
  </si>
  <si>
    <t>cotton; garment</t>
  </si>
  <si>
    <t>164422</t>
  </si>
  <si>
    <t>2005.5.3</t>
  </si>
  <si>
    <t>Turban</t>
  </si>
  <si>
    <t>Peru, North Coast, Chimú style</t>
  </si>
  <si>
    <t>1485–1640 (radiocarbon date, 95.4% probability)</t>
  </si>
  <si>
    <t>Cotton; plain weave, brocaded and complex alternating gauze with 5 shots of plain weave between gauze shots</t>
  </si>
  <si>
    <t>Chimú garments like this one consist of a large, rectangular central section—here measuring some 65 inches by 50 inches—with decorated tabs stitched to two opposite corners. Such garments probably were worn as turbans but we do not understand exactly how. For the purpose of display, the plain central section of this example has been folded to form a wide band, with the tabs arranged on either side.</t>
  </si>
  <si>
    <t>https://clevelandart.org/art/2005.5.3</t>
  </si>
  <si>
    <t>https://openaccess-cdn.clevelandart.org/2005.5.3/2005.5.3_web.jpg</t>
  </si>
  <si>
    <t>164423</t>
  </si>
  <si>
    <t>2005.5.4</t>
  </si>
  <si>
    <t>Padded Hat</t>
  </si>
  <si>
    <t>1460–1625 (radiocarbon date, 95.4% probability)</t>
  </si>
  <si>
    <t>cotton; plain weave, brocaded</t>
  </si>
  <si>
    <t>This garment may have been found with others in the collection that formed a matched set worn by a noble of the Chimú, who rose to power on Peru’s north coast after 1000 AD.</t>
  </si>
  <si>
    <t>https://clevelandart.org/art/2005.5.4</t>
  </si>
  <si>
    <t>https://openaccess-cdn.clevelandart.org/2005.5.4/2005.5.4_web.jpg</t>
  </si>
  <si>
    <t>164424</t>
  </si>
  <si>
    <t>2005.5.5</t>
  </si>
  <si>
    <t>Band with Tassels</t>
  </si>
  <si>
    <t>1455–1625 (radiocarbon date, 95% probability)</t>
  </si>
  <si>
    <t>cotton; weft-faced plain weave</t>
  </si>
  <si>
    <t>This garment may have been found with others in the collection that formed a matched set worn by a noble of the Chimú, who rose to power on Peru’s north coast after the year 1000.</t>
  </si>
  <si>
    <t>https://clevelandart.org/art/2005.5.5</t>
  </si>
  <si>
    <t>https://openaccess-cdn.clevelandart.org/2005.5.5/2005.5.5_web.jpg</t>
  </si>
  <si>
    <t>164428</t>
  </si>
  <si>
    <t>2005.53</t>
  </si>
  <si>
    <t>Tunic Fragments with Bird-Headed Creature</t>
  </si>
  <si>
    <t>Central Andes, Middle Horizon, Wari, 6th-11th century</t>
  </si>
  <si>
    <t>600–1000</t>
  </si>
  <si>
    <t>Camelid fiber, cotton; tapestry weave</t>
  </si>
  <si>
    <t>The bird-headed creature in profile that repeats in each of this tunic's design fields gazes upward, holds a staff of authority in front of its body, and wears an ornate headdress behind which a three-feathered wing can be seen. The extremely high technical quality of such tunics suggests that the Wari reserved bird imagery for their most exalted rulers. Here, the original incorporated more than twice as much yarn as the routine--some 19 miles, all handmade and much dyed an inky, dark blue, the most prestigious of Wari colors.</t>
  </si>
  <si>
    <t>https://clevelandart.org/art/2005.53</t>
  </si>
  <si>
    <t>https://openaccess-cdn.clevelandart.org/2005.53/2005.53_web.jpg</t>
  </si>
  <si>
    <t>andes; wari</t>
  </si>
  <si>
    <t>camelid; cotton; fiber; textile; tunic</t>
  </si>
  <si>
    <t>164429</t>
  </si>
  <si>
    <t>2005.53.a</t>
  </si>
  <si>
    <t>Half of a Sleeved Tunic</t>
  </si>
  <si>
    <t>c. 500–1000</t>
  </si>
  <si>
    <t>single-interlocked tapestry; cotton warp; camelid fiber weft</t>
  </si>
  <si>
    <t>https://clevelandart.org/art/2005.53.a</t>
  </si>
  <si>
    <t>https://openaccess-cdn.clevelandart.org/2005.53.a/2005.53.a_web.jpg</t>
  </si>
  <si>
    <t>164430</t>
  </si>
  <si>
    <t>2005.53.b</t>
  </si>
  <si>
    <t>https://clevelandart.org/art/2005.53.b</t>
  </si>
  <si>
    <t>https://openaccess-cdn.clevelandart.org/2005.53.b/2005.53.b_web.jpg</t>
  </si>
  <si>
    <t>165184</t>
  </si>
  <si>
    <t>2007.179</t>
  </si>
  <si>
    <t>Tunic with Sacrificer</t>
  </si>
  <si>
    <t>South America, Peru, Central Andes, Middle Horizon, Wari people, 7th-11th century</t>
  </si>
  <si>
    <t>camelid-fiber, cotton; tapestry weave</t>
  </si>
  <si>
    <t>An extremely abstract supernatural sacrifice repeats in different colors and orientations across the body of this tunic, which was shortened on one side in antiquity. Look for the toothy black-and-white mouth in the sacrificer's upward-gazing head; other facial features include a button nose and a vertically divided eye. The figure holds the L-shaped haft of an axe behind its back and, at the front of its body, a short staff with a severed, upside-down human head on the top.</t>
  </si>
  <si>
    <t>https://clevelandart.org/art/2007.179</t>
  </si>
  <si>
    <t>https://openaccess-cdn.clevelandart.org/2007.179/2007.179_web.jpg</t>
  </si>
  <si>
    <t>andes; peru; wari</t>
  </si>
  <si>
    <t>165266</t>
  </si>
  <si>
    <t>2007.2</t>
  </si>
  <si>
    <t>Textile Fragments</t>
  </si>
  <si>
    <t>Peru, Moche, north coast</t>
  </si>
  <si>
    <t>c. 50–650 CE</t>
  </si>
  <si>
    <t>cotton and camelid fiber</t>
  </si>
  <si>
    <t>These fragments are rare survivors of catastrophic rains that destroyed much of the Moche textile legacy and may have helped to bring about the decline of Moche culture. Each depicts a serpent and a snail beneath a hovering raptorial bird—perhaps a snail kite, a type of hawk named after its favored food. The size of the motifs implies that the original textile was large; a mantle (a shawl-like garment) or a hanging are among the possibilities.</t>
  </si>
  <si>
    <t>https://clevelandart.org/art/2007.2</t>
  </si>
  <si>
    <t>https://openaccess-cdn.clevelandart.org/2007.2/2007.2_web.jpg</t>
  </si>
  <si>
    <t>moche; north coast; peru</t>
  </si>
  <si>
    <t>165267</t>
  </si>
  <si>
    <t>2007.2.1</t>
  </si>
  <si>
    <t>This fragment, one of several in the collection, is a rare survivor of catastrophic rains that destroyed much of the Moche textile legacy and may have helped to bring about the decline of Moche culture. It depicts a serpent and a snail beneath a hovering raptorial bird—perhaps a snail kite, a type of hawk named after its favored food. The size of the motifs implies that the original textile was large; a mantle (a shawl-like garment) or a hanging are among the possibilities.</t>
  </si>
  <si>
    <t>https://clevelandart.org/art/2007.2.1</t>
  </si>
  <si>
    <t>https://openaccess-cdn.clevelandart.org/2007.2.1/2007.2.1_web.jpg</t>
  </si>
  <si>
    <t>165268</t>
  </si>
  <si>
    <t>2007.2.2</t>
  </si>
  <si>
    <t>https://clevelandart.org/art/2007.2.2</t>
  </si>
  <si>
    <t>https://openaccess-cdn.clevelandart.org/2007.2.2/2007.2.2_web.jpg</t>
  </si>
  <si>
    <t>165269</t>
  </si>
  <si>
    <t>2007.2.3</t>
  </si>
  <si>
    <t>https://clevelandart.org/art/2007.2.3</t>
  </si>
  <si>
    <t>https://openaccess-cdn.clevelandart.org/2007.2.3/2007.2.3_web.jpg</t>
  </si>
  <si>
    <t>165270</t>
  </si>
  <si>
    <t>2007.2.4</t>
  </si>
  <si>
    <t>https://clevelandart.org/art/2007.2.4</t>
  </si>
  <si>
    <t>https://openaccess-cdn.clevelandart.org/2007.2.4/2007.2.4_web.jpg</t>
  </si>
  <si>
    <t>165271</t>
  </si>
  <si>
    <t>2007.2.5</t>
  </si>
  <si>
    <t>https://clevelandart.org/art/2007.2.5</t>
  </si>
  <si>
    <t>https://openaccess-cdn.clevelandart.org/2007.2.5/2007.2.5_web.jpg</t>
  </si>
  <si>
    <t>165272</t>
  </si>
  <si>
    <t>2007.2.6</t>
  </si>
  <si>
    <t>https://clevelandart.org/art/2007.2.6</t>
  </si>
  <si>
    <t>https://openaccess-cdn.clevelandart.org/2007.2.6/2007.2.6_web.jpg</t>
  </si>
  <si>
    <t>165273</t>
  </si>
  <si>
    <t>2007.2.7</t>
  </si>
  <si>
    <t>Loose Textile Fragments</t>
  </si>
  <si>
    <t>https://clevelandart.org/art/2007.2.7</t>
  </si>
  <si>
    <t>https://openaccess-cdn.clevelandart.org/2007.2.7/2007.2.7_web.jpg</t>
  </si>
  <si>
    <t>166766</t>
  </si>
  <si>
    <t>2008.58</t>
  </si>
  <si>
    <t>Loincloth with Feather(?) Motifs</t>
  </si>
  <si>
    <t>Peru, Central Andes, Chimú or Chimú-Inka, 11th-16th century</t>
  </si>
  <si>
    <t>1000–1532</t>
  </si>
  <si>
    <t>plain weave, tapestry weave; cotton, camelid fiber</t>
  </si>
  <si>
    <t>https://clevelandart.org/art/2008.58</t>
  </si>
  <si>
    <t>https://openaccess-cdn.clevelandart.org/2008.58/2008.58_web.jpg</t>
  </si>
  <si>
    <t>andes; peru</t>
  </si>
  <si>
    <t>169188</t>
  </si>
  <si>
    <t>2011.111</t>
  </si>
  <si>
    <t>Tunic and Band</t>
  </si>
  <si>
    <t>Peru, Chimú or Chimú-Inka, 12th-16th century</t>
  </si>
  <si>
    <t>1100–1532</t>
  </si>
  <si>
    <t>white cotton; plain weave with supplementary weft brocading</t>
  </si>
  <si>
    <t>Although these garments are similar in appearance and technical features, it is not clear that they were found or used together. To see the record for each, click “see all set records,” above.</t>
  </si>
  <si>
    <t>https://clevelandart.org/art/2011.111</t>
  </si>
  <si>
    <t>https://openaccess-cdn.clevelandart.org/2011.111/2011.111_web.jpg</t>
  </si>
  <si>
    <t>169189</t>
  </si>
  <si>
    <t>2011.111.1</t>
  </si>
  <si>
    <t>https://clevelandart.org/art/2011.111.1</t>
  </si>
  <si>
    <t>https://openaccess-cdn.clevelandart.org/2011.111.1/2011.111.1_web.jpg</t>
  </si>
  <si>
    <t>cotton; garment; textile; tunic</t>
  </si>
  <si>
    <t>169190</t>
  </si>
  <si>
    <t>2011.111.2</t>
  </si>
  <si>
    <t>white cotton; plain weave</t>
  </si>
  <si>
    <t>https://clevelandart.org/art/2011.111.2</t>
  </si>
  <si>
    <t>https://openaccess-cdn.clevelandart.org/2011.111.2/2011.111.2_web.jpg</t>
  </si>
  <si>
    <t>171611</t>
  </si>
  <si>
    <t>2014.389</t>
  </si>
  <si>
    <t>Band (Headband?)</t>
  </si>
  <si>
    <t>Central Andes, Moche-Wari Style, mid-7th to mid-9th century</t>
  </si>
  <si>
    <t>c. 650–850</t>
  </si>
  <si>
    <t>Camelid fiber (alpaca; weft) and cotton (warp); tapestry weave</t>
  </si>
  <si>
    <t>This jewel-like textile, perhaps the only one of its kind, is made from a single band accordion-folded to form tabs, each edged with lush red tassels. Repeated in different colors down its length is the image of a warrior who holds an axe in one hand and a jagged, club-like object in the other. The reversed orientation of several of the warriors may be the result of the weaving method.</t>
  </si>
  <si>
    <t>https://clevelandart.org/art/2014.389</t>
  </si>
  <si>
    <t>https://openaccess-cdn.clevelandart.org/2014.389/2014.389_web.jpg</t>
  </si>
  <si>
    <t>andes; moche; wari</t>
  </si>
  <si>
    <t>camelid; cotton; fiber; textile; weaving</t>
  </si>
  <si>
    <t>292530</t>
  </si>
  <si>
    <t>2016.267</t>
  </si>
  <si>
    <t>Tunic with Frontal Figures</t>
  </si>
  <si>
    <t>Cotton; slit tapestry weave</t>
  </si>
  <si>
    <t>This tunic was made by weavers of the Ychsma (&lt;strong&gt;&lt;em&gt;yeach&lt;/em&gt;&lt;/strong&gt;&lt;em&gt;-mah&lt;/em&gt;) people, who were affiliated with Pachacamac, a vast religious center that housed an oracle. The figures repeated across its composition may represent important ancestors or high-ranking members of society. The tunic likely dates to the period after the Inka Empire conquered Ychsma coastal territory, eventually becoming the largest Indigenous empire to have existed in the ancient Americas.</t>
  </si>
  <si>
    <t>https://clevelandart.org/art/2016.267</t>
  </si>
  <si>
    <t>https://openaccess-cdn.clevelandart.org/2016.267/2016.267_web.jpg</t>
  </si>
  <si>
    <t>294034</t>
  </si>
  <si>
    <t>2017.56</t>
  </si>
  <si>
    <t>Textile Fragment with Cotton Goddess</t>
  </si>
  <si>
    <t>Andes, south coast, Ica Valley?, Chavín style</t>
  </si>
  <si>
    <t>800–500 BCE</t>
  </si>
  <si>
    <t>Cotton, pigments</t>
  </si>
  <si>
    <t>The figure painted on this fragment represents a female deity with a large, fanged mouth. Further fanged heads occur on the chest, legs, feet, waist, and staffs of authority she holds. Edging both the staffs and the top of the head are white cotton bolls that have caused the deity to be dubbed the Cotton Goddess and associated with nature’s fertility.</t>
  </si>
  <si>
    <t>https://clevelandart.org/art/2017.56</t>
  </si>
  <si>
    <t>https://openaccess-cdn.clevelandart.org/2017.56/2017.56_web.jpg</t>
  </si>
  <si>
    <t>andes; south coast</t>
  </si>
  <si>
    <t>294068</t>
  </si>
  <si>
    <t>2017.60</t>
  </si>
  <si>
    <t>Central Andes, central coast, Chancay people</t>
  </si>
  <si>
    <t>Cotton</t>
  </si>
  <si>
    <t>This tie-dyed panel was probably worn as a head cloth, a common article of women’s wear among the Chancay people of Peru’s central coast. Its colors are reminiscent of a deep twilight, when the sky turns a luminous, dark blue and a shimmer of orange light appears on the horizon. It is not known whether the repeated squares have symbolic significance.</t>
  </si>
  <si>
    <t>https://clevelandart.org/art/2017.60</t>
  </si>
  <si>
    <t>https://openaccess-cdn.clevelandart.org/2017.60/2017.60_web.jpg</t>
  </si>
  <si>
    <t>andes; chancay; peru</t>
  </si>
  <si>
    <t>302272</t>
  </si>
  <si>
    <t>2017.193</t>
  </si>
  <si>
    <t>Sleeved Tunic</t>
  </si>
  <si>
    <t>1460s–1532</t>
  </si>
  <si>
    <t>Cotton, camelid fiber</t>
  </si>
  <si>
    <t>The Chancay (&lt;strong&gt;&lt;em&gt;chan&lt;/em&gt;&lt;/strong&gt;&lt;em&gt;-kai&lt;/em&gt;) people of Peru’s central coast created one of the ancient Andes’s best-known textile legacies through artistically elaborate men’s tunics and loin cloths, women’s dresses and headcloths, and shawl-like mantles. Two traits indicate that this tunic is a high-prestige garment: its labor-intensive tapestry-woven technique and its substantial use of alpaca fiber imported from the adjacent highlands.</t>
  </si>
  <si>
    <t>https://clevelandart.org/art/2017.193</t>
  </si>
  <si>
    <t>https://openaccess-cdn.clevelandart.org/2017.193/2017.193_web.jpg</t>
  </si>
  <si>
    <t>camelid; cotton; fiber; garment; textile; tunic; woven</t>
  </si>
  <si>
    <t>97613</t>
  </si>
  <si>
    <t>1917.26</t>
  </si>
  <si>
    <t>Indonesia, Java, North Coast, mid-19th century</t>
  </si>
  <si>
    <t>mid-1800s</t>
  </si>
  <si>
    <t>Cotton: plain weave, wax-resist dyed (batik)</t>
  </si>
  <si>
    <t>Batiks made in the North Coast region of Java, specifically in Pekalongan, were influenced by both Indian and European motifs due to the Dutch presence in Indonesia. In this sarong we see a mixture of Indian and European flowers including jasmine, lilac, and daffodil. Batik is a wax-resist dyeing technique used throughout Java. Hot wax is applied with a tool known as a canting and a design is hand drawn with incredible skill. This sarong was then dyed with indigo, a well sought after and culturally important natural dye. Areas on the fabric with wax will not accept the indigo dye, hence the term wax-resist.</t>
  </si>
  <si>
    <t>https://clevelandart.org/art/1917.26</t>
  </si>
  <si>
    <t>https://openaccess-cdn.clevelandart.org/1917.26/1917.26_web.jpg</t>
  </si>
  <si>
    <t>97626</t>
  </si>
  <si>
    <t>1917.27</t>
  </si>
  <si>
    <t>Indonesia, Java, North Coast, Indramaju ?, early 20th century</t>
  </si>
  <si>
    <t>Batiks made along the northern coast of Java were influenced not only by Chinese motifs and designs but also European, as a result of the Dutch presence in Indonesia from the sixteenth to the twentieth centuries. In this sarong, European influence is clearly evident in the sprays of flowers and types of birds represented. Batiks dyed only in indigo were a specialty of Indramaju. Shading and contrast are skillfully achieved through different intensities of blue, through the character and thickness of line, and by the use of tiny dots.</t>
  </si>
  <si>
    <t>https://clevelandart.org/art/1917.27</t>
  </si>
  <si>
    <t>https://openaccess-cdn.clevelandart.org/1917.27/1917.27_web.jpg</t>
  </si>
  <si>
    <t>Resumen de curacion CMA</t>
  </si>
  <si>
    <t>Indicador</t>
  </si>
  <si>
    <t>Valor</t>
  </si>
  <si>
    <t>Total candidatos</t>
  </si>
  <si>
    <t>Decisiones completadas</t>
  </si>
  <si>
    <t>Pendientes decision_auditoria</t>
  </si>
  <si>
    <t>Incluir en corpus = si</t>
  </si>
  <si>
    <t>Incluir en corpus = no</t>
  </si>
  <si>
    <t>Incluir en corpus = pendiente</t>
  </si>
  <si>
    <t>conteo</t>
  </si>
  <si>
    <t>aceptar_principal</t>
  </si>
  <si>
    <t>aceptar_secundario</t>
  </si>
  <si>
    <t>descartar_no_textil</t>
  </si>
  <si>
    <t>descartar_no_andino</t>
  </si>
  <si>
    <t>descartar_baja_calidad</t>
  </si>
  <si>
    <t>descartar_duplicado</t>
  </si>
  <si>
    <t>pendiente_discusion</t>
  </si>
  <si>
    <t>principal</t>
  </si>
  <si>
    <t>secundario</t>
  </si>
  <si>
    <t>descartado</t>
  </si>
  <si>
    <t>si</t>
  </si>
  <si>
    <t>alta</t>
  </si>
  <si>
    <t>manto</t>
  </si>
  <si>
    <t>no</t>
  </si>
  <si>
    <t>media</t>
  </si>
  <si>
    <t>tunica</t>
  </si>
  <si>
    <t>baja</t>
  </si>
  <si>
    <t>camisa</t>
  </si>
  <si>
    <t>no_aplica</t>
  </si>
  <si>
    <t>bolsa</t>
  </si>
  <si>
    <t>faja_o_banda</t>
  </si>
  <si>
    <t>fragmento</t>
  </si>
  <si>
    <t>textil_plumario</t>
  </si>
  <si>
    <t>otro_textil</t>
  </si>
  <si>
    <t>no_textil</t>
  </si>
  <si>
    <t>incierto</t>
  </si>
  <si>
    <t>Archivo generado automaticamente para revisar candidatos textiles andinos del Cleveland Museum of 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</si>
</sst>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0"/>
      <name val="Calibri"/>
      <family val="2"/>
      <scheme val="minor"/>
    </font>
    <font>
      <b/>
      <sz val="11"/>
      <color rgb="FFFFFFFF"/>
      <name val="Calibri"/>
    </font>
    <font>
      <b/>
      <sz val="11"/>
      <name val="Calibri"/>
    </font>
    <font>
      <b/>
      <sz val="16"/>
      <color rgb="FFFFFFFF"/>
      <name val="Calibri"/>
    </font>
  </fonts>
  <fills count="5">
    <fill>
      <patternFill patternType="none"/>
    </fill>
    <fill>
      <patternFill patternType="gray125"/>
    </fill>
    <fill>
      <patternFill patternType="solid">
        <fgColor rgb="FF1F4E78"/>
      </patternFill>
    </fill>
    <fill>
      <patternFill patternType="solid">
        <fgColor rgb="FFE7E6E6"/>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0" borderId="0"/>
  </cellStyleXfs>
  <cellXfs count="10">
    <xf numFmtId="0" fontId="0" fillId="0" borderId="0" xfId="0"/>
    <xf numFmtId="0" fontId="2" fillId="2" borderId="1" xfId="0" applyFont="1" applyFill="1" applyBorder="1" applyAlignment="1">
      <alignment horizontal="center" vertical="center" wrapText="1"/>
    </xf>
    <xf numFmtId="0" fontId="0" fillId="0" borderId="0" xfId="0" applyAlignment="1">
      <alignment vertical="top" wrapText="1"/>
    </xf>
    <xf numFmtId="0" fontId="0" fillId="3" borderId="1" xfId="0" applyFill="1" applyBorder="1" applyAlignment="1">
      <alignment vertical="top" wrapText="1"/>
    </xf>
    <xf numFmtId="0" fontId="1" fillId="3" borderId="1" xfId="1" applyFill="1" applyBorder="1" applyAlignment="1">
      <alignment vertical="top" wrapText="1"/>
    </xf>
    <xf numFmtId="0" fontId="0" fillId="4" borderId="1" xfId="0" applyFill="1" applyBorder="1" applyAlignment="1">
      <alignment vertical="top" wrapText="1"/>
    </xf>
    <xf numFmtId="0" fontId="3" fillId="0" borderId="0" xfId="0" applyFont="1"/>
    <xf numFmtId="0" fontId="0" fillId="0" borderId="0" xfId="0" applyAlignment="1">
      <alignment wrapText="1"/>
    </xf>
    <xf numFmtId="0" fontId="0" fillId="0" borderId="0" xfId="0"/>
    <xf numFmtId="0" fontId="4" fillId="2" borderId="0" xfId="0" applyFont="1" applyFill="1"/>
  </cellXfs>
  <cellStyles count="2">
    <cellStyle name="Hipervínculo" xfId="1" builtinId="8"/>
    <cellStyle name="Normal" xfId="0" builtinId="0"/>
  </cellStyles>
  <dxfs count="2">
    <dxf>
      <fill>
        <patternFill patternType="solid">
          <fgColor rgb="FFD9EAD3"/>
        </patternFill>
      </fill>
    </dxf>
    <dxf>
      <fill>
        <patternFill patternType="solid">
          <f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clevelandart.org/art/1946.227" TargetMode="External"/><Relationship Id="rId21" Type="http://schemas.openxmlformats.org/officeDocument/2006/relationships/hyperlink" Target="https://clevelandart.org/art/1922.396" TargetMode="External"/><Relationship Id="rId63" Type="http://schemas.openxmlformats.org/officeDocument/2006/relationships/hyperlink" Target="https://clevelandart.org/art/1940.469" TargetMode="External"/><Relationship Id="rId159" Type="http://schemas.openxmlformats.org/officeDocument/2006/relationships/hyperlink" Target="https://clevelandart.org/art/1958.412" TargetMode="External"/><Relationship Id="rId170" Type="http://schemas.openxmlformats.org/officeDocument/2006/relationships/hyperlink" Target="https://openaccess-cdn.clevelandart.org/1985.7/1985.7_web.jpg" TargetMode="External"/><Relationship Id="rId226" Type="http://schemas.openxmlformats.org/officeDocument/2006/relationships/hyperlink" Target="https://openaccess-cdn.clevelandart.org/2005.5.3/2005.5.3_web.jpg" TargetMode="External"/><Relationship Id="rId268" Type="http://schemas.openxmlformats.org/officeDocument/2006/relationships/hyperlink" Target="https://openaccess-cdn.clevelandart.org/2017.56/2017.56_web.jpg" TargetMode="External"/><Relationship Id="rId32" Type="http://schemas.openxmlformats.org/officeDocument/2006/relationships/hyperlink" Target="https://openaccess-cdn.clevelandart.org/1922.397.a/1922.397.a_web.jpg" TargetMode="External"/><Relationship Id="rId74" Type="http://schemas.openxmlformats.org/officeDocument/2006/relationships/hyperlink" Target="https://openaccess-cdn.clevelandart.org/1940.498/1940.498_web.jpg" TargetMode="External"/><Relationship Id="rId128" Type="http://schemas.openxmlformats.org/officeDocument/2006/relationships/hyperlink" Target="https://openaccess-cdn.clevelandart.org/1948.479/1948.479_web.jpg" TargetMode="External"/><Relationship Id="rId5" Type="http://schemas.openxmlformats.org/officeDocument/2006/relationships/hyperlink" Target="https://clevelandart.org/art/1922.390" TargetMode="External"/><Relationship Id="rId181" Type="http://schemas.openxmlformats.org/officeDocument/2006/relationships/hyperlink" Target="https://clevelandart.org/art/1992.105" TargetMode="External"/><Relationship Id="rId237" Type="http://schemas.openxmlformats.org/officeDocument/2006/relationships/hyperlink" Target="https://clevelandart.org/art/2007.179" TargetMode="External"/><Relationship Id="rId258" Type="http://schemas.openxmlformats.org/officeDocument/2006/relationships/hyperlink" Target="https://openaccess-cdn.clevelandart.org/2011.111/2011.111_web.jpg" TargetMode="External"/><Relationship Id="rId22" Type="http://schemas.openxmlformats.org/officeDocument/2006/relationships/hyperlink" Target="https://openaccess-cdn.clevelandart.org/1922.396/1922.396_web.jpg" TargetMode="External"/><Relationship Id="rId43" Type="http://schemas.openxmlformats.org/officeDocument/2006/relationships/hyperlink" Target="https://clevelandart.org/art/1925.660" TargetMode="External"/><Relationship Id="rId64" Type="http://schemas.openxmlformats.org/officeDocument/2006/relationships/hyperlink" Target="https://openaccess-cdn.clevelandart.org/1940.469/1940.469_web.jpg" TargetMode="External"/><Relationship Id="rId118" Type="http://schemas.openxmlformats.org/officeDocument/2006/relationships/hyperlink" Target="https://openaccess-cdn.clevelandart.org/1946.227/1946.227_web.jpg" TargetMode="External"/><Relationship Id="rId139" Type="http://schemas.openxmlformats.org/officeDocument/2006/relationships/hyperlink" Target="https://clevelandart.org/art/1949.193" TargetMode="External"/><Relationship Id="rId85" Type="http://schemas.openxmlformats.org/officeDocument/2006/relationships/hyperlink" Target="https://clevelandart.org/art/1940.519" TargetMode="External"/><Relationship Id="rId150" Type="http://schemas.openxmlformats.org/officeDocument/2006/relationships/hyperlink" Target="https://openaccess-cdn.clevelandart.org/1954.68/1954.68_web.jpg" TargetMode="External"/><Relationship Id="rId171" Type="http://schemas.openxmlformats.org/officeDocument/2006/relationships/hyperlink" Target="https://clevelandart.org/art/1990.225" TargetMode="External"/><Relationship Id="rId192" Type="http://schemas.openxmlformats.org/officeDocument/2006/relationships/hyperlink" Target="https://openaccess-cdn.clevelandart.org/1996.348/1996.348_web.jpg" TargetMode="External"/><Relationship Id="rId206" Type="http://schemas.openxmlformats.org/officeDocument/2006/relationships/hyperlink" Target="https://openaccess-cdn.clevelandart.org/2005.13/2005.13_web.jpg" TargetMode="External"/><Relationship Id="rId227" Type="http://schemas.openxmlformats.org/officeDocument/2006/relationships/hyperlink" Target="https://clevelandart.org/art/2005.5.4" TargetMode="External"/><Relationship Id="rId248" Type="http://schemas.openxmlformats.org/officeDocument/2006/relationships/hyperlink" Target="https://openaccess-cdn.clevelandart.org/2007.2.4/2007.2.4_web.jpg" TargetMode="External"/><Relationship Id="rId269" Type="http://schemas.openxmlformats.org/officeDocument/2006/relationships/hyperlink" Target="https://clevelandart.org/art/2017.60" TargetMode="External"/><Relationship Id="rId12" Type="http://schemas.openxmlformats.org/officeDocument/2006/relationships/hyperlink" Target="https://openaccess-cdn.clevelandart.org/1922.395/1922.395_web.jpg" TargetMode="External"/><Relationship Id="rId33" Type="http://schemas.openxmlformats.org/officeDocument/2006/relationships/hyperlink" Target="https://clevelandart.org/art/1922.397.b" TargetMode="External"/><Relationship Id="rId108" Type="http://schemas.openxmlformats.org/officeDocument/2006/relationships/hyperlink" Target="https://openaccess-cdn.clevelandart.org/1940.530/1940.530_web.jpg" TargetMode="External"/><Relationship Id="rId129" Type="http://schemas.openxmlformats.org/officeDocument/2006/relationships/hyperlink" Target="https://clevelandart.org/art/1948.480" TargetMode="External"/><Relationship Id="rId54" Type="http://schemas.openxmlformats.org/officeDocument/2006/relationships/hyperlink" Target="https://openaccess-cdn.clevelandart.org/1925.669/1925.669_web.jpg" TargetMode="External"/><Relationship Id="rId75" Type="http://schemas.openxmlformats.org/officeDocument/2006/relationships/hyperlink" Target="https://clevelandart.org/art/1940.514" TargetMode="External"/><Relationship Id="rId96" Type="http://schemas.openxmlformats.org/officeDocument/2006/relationships/hyperlink" Target="https://openaccess-cdn.clevelandart.org/1940.524/1940.524_web.jpg" TargetMode="External"/><Relationship Id="rId140" Type="http://schemas.openxmlformats.org/officeDocument/2006/relationships/hyperlink" Target="https://openaccess-cdn.clevelandart.org/1949.193/1949.193_web.jpg" TargetMode="External"/><Relationship Id="rId161" Type="http://schemas.openxmlformats.org/officeDocument/2006/relationships/hyperlink" Target="https://clevelandart.org/art/1962.240" TargetMode="External"/><Relationship Id="rId182" Type="http://schemas.openxmlformats.org/officeDocument/2006/relationships/hyperlink" Target="https://openaccess-cdn.clevelandart.org/1992.105/1992.105_web.jpg" TargetMode="External"/><Relationship Id="rId217" Type="http://schemas.openxmlformats.org/officeDocument/2006/relationships/hyperlink" Target="https://clevelandart.org/art/2005.19" TargetMode="External"/><Relationship Id="rId6" Type="http://schemas.openxmlformats.org/officeDocument/2006/relationships/hyperlink" Target="https://openaccess-cdn.clevelandart.org/1922.390/1922.390_web.jpg" TargetMode="External"/><Relationship Id="rId238" Type="http://schemas.openxmlformats.org/officeDocument/2006/relationships/hyperlink" Target="https://openaccess-cdn.clevelandart.org/2007.179/2007.179_web.jpg" TargetMode="External"/><Relationship Id="rId259" Type="http://schemas.openxmlformats.org/officeDocument/2006/relationships/hyperlink" Target="https://clevelandart.org/art/2011.111.1" TargetMode="External"/><Relationship Id="rId23" Type="http://schemas.openxmlformats.org/officeDocument/2006/relationships/hyperlink" Target="https://clevelandart.org/art/1922.396.a" TargetMode="External"/><Relationship Id="rId119" Type="http://schemas.openxmlformats.org/officeDocument/2006/relationships/hyperlink" Target="https://clevelandart.org/art/1946.228" TargetMode="External"/><Relationship Id="rId270" Type="http://schemas.openxmlformats.org/officeDocument/2006/relationships/hyperlink" Target="https://openaccess-cdn.clevelandart.org/2017.60/2017.60_web.jpg" TargetMode="External"/><Relationship Id="rId44" Type="http://schemas.openxmlformats.org/officeDocument/2006/relationships/hyperlink" Target="https://openaccess-cdn.clevelandart.org/1925.660/1925.660_web.jpg" TargetMode="External"/><Relationship Id="rId65" Type="http://schemas.openxmlformats.org/officeDocument/2006/relationships/hyperlink" Target="https://clevelandart.org/art/1940.494" TargetMode="External"/><Relationship Id="rId86" Type="http://schemas.openxmlformats.org/officeDocument/2006/relationships/hyperlink" Target="https://openaccess-cdn.clevelandart.org/1940.519/1940.519_web.jpg" TargetMode="External"/><Relationship Id="rId130" Type="http://schemas.openxmlformats.org/officeDocument/2006/relationships/hyperlink" Target="https://openaccess-cdn.clevelandart.org/1948.480/1948.480_web.jpg" TargetMode="External"/><Relationship Id="rId151" Type="http://schemas.openxmlformats.org/officeDocument/2006/relationships/hyperlink" Target="https://clevelandart.org/art/1956.84" TargetMode="External"/><Relationship Id="rId172" Type="http://schemas.openxmlformats.org/officeDocument/2006/relationships/hyperlink" Target="https://openaccess-cdn.clevelandart.org/1990.225/1990.225_web.jpg" TargetMode="External"/><Relationship Id="rId193" Type="http://schemas.openxmlformats.org/officeDocument/2006/relationships/hyperlink" Target="https://clevelandart.org/art/1996.348.a" TargetMode="External"/><Relationship Id="rId207" Type="http://schemas.openxmlformats.org/officeDocument/2006/relationships/hyperlink" Target="https://clevelandart.org/art/2005.14" TargetMode="External"/><Relationship Id="rId228" Type="http://schemas.openxmlformats.org/officeDocument/2006/relationships/hyperlink" Target="https://openaccess-cdn.clevelandart.org/2005.5.4/2005.5.4_web.jpg" TargetMode="External"/><Relationship Id="rId249" Type="http://schemas.openxmlformats.org/officeDocument/2006/relationships/hyperlink" Target="https://clevelandart.org/art/2007.2.5" TargetMode="External"/><Relationship Id="rId13" Type="http://schemas.openxmlformats.org/officeDocument/2006/relationships/hyperlink" Target="https://clevelandart.org/art/1922.395.a" TargetMode="External"/><Relationship Id="rId109" Type="http://schemas.openxmlformats.org/officeDocument/2006/relationships/hyperlink" Target="https://clevelandart.org/art/1940.531" TargetMode="External"/><Relationship Id="rId260" Type="http://schemas.openxmlformats.org/officeDocument/2006/relationships/hyperlink" Target="https://openaccess-cdn.clevelandart.org/2011.111.1/2011.111.1_web.jpg" TargetMode="External"/><Relationship Id="rId34" Type="http://schemas.openxmlformats.org/officeDocument/2006/relationships/hyperlink" Target="https://openaccess-cdn.clevelandart.org/1922.397.b/1922.397.b_web.jpg" TargetMode="External"/><Relationship Id="rId55" Type="http://schemas.openxmlformats.org/officeDocument/2006/relationships/hyperlink" Target="https://clevelandart.org/art/1928.656" TargetMode="External"/><Relationship Id="rId76" Type="http://schemas.openxmlformats.org/officeDocument/2006/relationships/hyperlink" Target="https://openaccess-cdn.clevelandart.org/1940.514/1940.514_web.jpg" TargetMode="External"/><Relationship Id="rId97" Type="http://schemas.openxmlformats.org/officeDocument/2006/relationships/hyperlink" Target="https://clevelandart.org/art/1940.525" TargetMode="External"/><Relationship Id="rId120" Type="http://schemas.openxmlformats.org/officeDocument/2006/relationships/hyperlink" Target="https://openaccess-cdn.clevelandart.org/1946.228/1946.228_web.jpg" TargetMode="External"/><Relationship Id="rId141" Type="http://schemas.openxmlformats.org/officeDocument/2006/relationships/hyperlink" Target="https://clevelandart.org/art/1951.173" TargetMode="External"/><Relationship Id="rId7" Type="http://schemas.openxmlformats.org/officeDocument/2006/relationships/hyperlink" Target="https://clevelandart.org/art/1922.392" TargetMode="External"/><Relationship Id="rId162" Type="http://schemas.openxmlformats.org/officeDocument/2006/relationships/hyperlink" Target="https://openaccess-cdn.clevelandart.org/1962.240/1962.240_web.jpg" TargetMode="External"/><Relationship Id="rId183" Type="http://schemas.openxmlformats.org/officeDocument/2006/relationships/hyperlink" Target="https://clevelandart.org/art/1992.231.1" TargetMode="External"/><Relationship Id="rId218" Type="http://schemas.openxmlformats.org/officeDocument/2006/relationships/hyperlink" Target="https://openaccess-cdn.clevelandart.org/2005.19/2005.19_web.jpg" TargetMode="External"/><Relationship Id="rId239" Type="http://schemas.openxmlformats.org/officeDocument/2006/relationships/hyperlink" Target="https://clevelandart.org/art/2007.2" TargetMode="External"/><Relationship Id="rId250" Type="http://schemas.openxmlformats.org/officeDocument/2006/relationships/hyperlink" Target="https://openaccess-cdn.clevelandart.org/2007.2.5/2007.2.5_web.jpg" TargetMode="External"/><Relationship Id="rId271" Type="http://schemas.openxmlformats.org/officeDocument/2006/relationships/hyperlink" Target="https://clevelandart.org/art/2017.193" TargetMode="External"/><Relationship Id="rId24" Type="http://schemas.openxmlformats.org/officeDocument/2006/relationships/hyperlink" Target="https://openaccess-cdn.clevelandart.org/1922.396.a/1922.396.a_web.jpg" TargetMode="External"/><Relationship Id="rId45" Type="http://schemas.openxmlformats.org/officeDocument/2006/relationships/hyperlink" Target="https://clevelandart.org/art/1925.661" TargetMode="External"/><Relationship Id="rId66" Type="http://schemas.openxmlformats.org/officeDocument/2006/relationships/hyperlink" Target="https://openaccess-cdn.clevelandart.org/1940.494/1940.494_web.jpg" TargetMode="External"/><Relationship Id="rId87" Type="http://schemas.openxmlformats.org/officeDocument/2006/relationships/hyperlink" Target="https://clevelandart.org/art/1940.520" TargetMode="External"/><Relationship Id="rId110" Type="http://schemas.openxmlformats.org/officeDocument/2006/relationships/hyperlink" Target="https://openaccess-cdn.clevelandart.org/1940.531/1940.531_web.jpg" TargetMode="External"/><Relationship Id="rId131" Type="http://schemas.openxmlformats.org/officeDocument/2006/relationships/hyperlink" Target="https://clevelandart.org/art/1948.481" TargetMode="External"/><Relationship Id="rId152" Type="http://schemas.openxmlformats.org/officeDocument/2006/relationships/hyperlink" Target="https://openaccess-cdn.clevelandart.org/1956.84/1956.84_web.jpg" TargetMode="External"/><Relationship Id="rId173" Type="http://schemas.openxmlformats.org/officeDocument/2006/relationships/hyperlink" Target="https://clevelandart.org/art/1991.141" TargetMode="External"/><Relationship Id="rId194" Type="http://schemas.openxmlformats.org/officeDocument/2006/relationships/hyperlink" Target="https://openaccess-cdn.clevelandart.org/1996.348.a/1996.348.a_web.jpg" TargetMode="External"/><Relationship Id="rId208" Type="http://schemas.openxmlformats.org/officeDocument/2006/relationships/hyperlink" Target="https://openaccess-cdn.clevelandart.org/2005.14/2005.14_web.jpg" TargetMode="External"/><Relationship Id="rId229" Type="http://schemas.openxmlformats.org/officeDocument/2006/relationships/hyperlink" Target="https://clevelandart.org/art/2005.5.5" TargetMode="External"/><Relationship Id="rId240" Type="http://schemas.openxmlformats.org/officeDocument/2006/relationships/hyperlink" Target="https://openaccess-cdn.clevelandart.org/2007.2/2007.2_web.jpg" TargetMode="External"/><Relationship Id="rId261" Type="http://schemas.openxmlformats.org/officeDocument/2006/relationships/hyperlink" Target="https://clevelandart.org/art/2011.111.2" TargetMode="External"/><Relationship Id="rId14" Type="http://schemas.openxmlformats.org/officeDocument/2006/relationships/hyperlink" Target="https://openaccess-cdn.clevelandart.org/1922.395.a/1922.395.a_web.jpg" TargetMode="External"/><Relationship Id="rId35" Type="http://schemas.openxmlformats.org/officeDocument/2006/relationships/hyperlink" Target="https://clevelandart.org/art/1922.397.c" TargetMode="External"/><Relationship Id="rId56" Type="http://schemas.openxmlformats.org/officeDocument/2006/relationships/hyperlink" Target="https://openaccess-cdn.clevelandart.org/1928.656/1928.656_web.jpg" TargetMode="External"/><Relationship Id="rId77" Type="http://schemas.openxmlformats.org/officeDocument/2006/relationships/hyperlink" Target="https://clevelandart.org/art/1940.515" TargetMode="External"/><Relationship Id="rId100" Type="http://schemas.openxmlformats.org/officeDocument/2006/relationships/hyperlink" Target="https://openaccess-cdn.clevelandart.org/1940.526/1940.526_web.jpg" TargetMode="External"/><Relationship Id="rId8" Type="http://schemas.openxmlformats.org/officeDocument/2006/relationships/hyperlink" Target="https://openaccess-cdn.clevelandart.org/1922.392/1922.392_web.jpg" TargetMode="External"/><Relationship Id="rId98" Type="http://schemas.openxmlformats.org/officeDocument/2006/relationships/hyperlink" Target="https://openaccess-cdn.clevelandart.org/1940.525/1940.525_web.jpg" TargetMode="External"/><Relationship Id="rId121" Type="http://schemas.openxmlformats.org/officeDocument/2006/relationships/hyperlink" Target="https://clevelandart.org/art/1946.75" TargetMode="External"/><Relationship Id="rId142" Type="http://schemas.openxmlformats.org/officeDocument/2006/relationships/hyperlink" Target="https://openaccess-cdn.clevelandart.org/1951.173/1951.173_web.jpg" TargetMode="External"/><Relationship Id="rId163" Type="http://schemas.openxmlformats.org/officeDocument/2006/relationships/hyperlink" Target="https://clevelandart.org/art/1977.190" TargetMode="External"/><Relationship Id="rId184" Type="http://schemas.openxmlformats.org/officeDocument/2006/relationships/hyperlink" Target="https://openaccess-cdn.clevelandart.org/1992.231.1/1992.231.1_web.jpg" TargetMode="External"/><Relationship Id="rId219" Type="http://schemas.openxmlformats.org/officeDocument/2006/relationships/hyperlink" Target="https://clevelandart.org/art/2005.5" TargetMode="External"/><Relationship Id="rId230" Type="http://schemas.openxmlformats.org/officeDocument/2006/relationships/hyperlink" Target="https://openaccess-cdn.clevelandart.org/2005.5.5/2005.5.5_web.jpg" TargetMode="External"/><Relationship Id="rId251" Type="http://schemas.openxmlformats.org/officeDocument/2006/relationships/hyperlink" Target="https://clevelandart.org/art/2007.2.6" TargetMode="External"/><Relationship Id="rId25" Type="http://schemas.openxmlformats.org/officeDocument/2006/relationships/hyperlink" Target="https://clevelandart.org/art/1922.396.b" TargetMode="External"/><Relationship Id="rId46" Type="http://schemas.openxmlformats.org/officeDocument/2006/relationships/hyperlink" Target="https://openaccess-cdn.clevelandart.org/1925.661/1925.661_web.jpg" TargetMode="External"/><Relationship Id="rId67" Type="http://schemas.openxmlformats.org/officeDocument/2006/relationships/hyperlink" Target="https://clevelandart.org/art/1940.495" TargetMode="External"/><Relationship Id="rId272" Type="http://schemas.openxmlformats.org/officeDocument/2006/relationships/hyperlink" Target="https://openaccess-cdn.clevelandart.org/2017.193/2017.193_web.jpg" TargetMode="External"/><Relationship Id="rId88" Type="http://schemas.openxmlformats.org/officeDocument/2006/relationships/hyperlink" Target="https://openaccess-cdn.clevelandart.org/1940.520/1940.520_web.jpg" TargetMode="External"/><Relationship Id="rId111" Type="http://schemas.openxmlformats.org/officeDocument/2006/relationships/hyperlink" Target="https://clevelandart.org/art/1945.378" TargetMode="External"/><Relationship Id="rId132" Type="http://schemas.openxmlformats.org/officeDocument/2006/relationships/hyperlink" Target="https://openaccess-cdn.clevelandart.org/1948.481/1948.481_web.jpg" TargetMode="External"/><Relationship Id="rId153" Type="http://schemas.openxmlformats.org/officeDocument/2006/relationships/hyperlink" Target="https://clevelandart.org/art/1957.136" TargetMode="External"/><Relationship Id="rId174" Type="http://schemas.openxmlformats.org/officeDocument/2006/relationships/hyperlink" Target="https://openaccess-cdn.clevelandart.org/1991.141/1991.141_web.jpg" TargetMode="External"/><Relationship Id="rId195" Type="http://schemas.openxmlformats.org/officeDocument/2006/relationships/hyperlink" Target="https://clevelandart.org/art/1996.348.b" TargetMode="External"/><Relationship Id="rId209" Type="http://schemas.openxmlformats.org/officeDocument/2006/relationships/hyperlink" Target="https://clevelandart.org/art/2005.15" TargetMode="External"/><Relationship Id="rId220" Type="http://schemas.openxmlformats.org/officeDocument/2006/relationships/hyperlink" Target="https://openaccess-cdn.clevelandart.org/2005.5/2005.5_web.jpg" TargetMode="External"/><Relationship Id="rId241" Type="http://schemas.openxmlformats.org/officeDocument/2006/relationships/hyperlink" Target="https://clevelandart.org/art/2007.2.1" TargetMode="External"/><Relationship Id="rId15" Type="http://schemas.openxmlformats.org/officeDocument/2006/relationships/hyperlink" Target="https://clevelandart.org/art/1922.395.b" TargetMode="External"/><Relationship Id="rId36" Type="http://schemas.openxmlformats.org/officeDocument/2006/relationships/hyperlink" Target="https://openaccess-cdn.clevelandart.org/1922.397.c/1922.397.c_web.jpg" TargetMode="External"/><Relationship Id="rId57" Type="http://schemas.openxmlformats.org/officeDocument/2006/relationships/hyperlink" Target="https://clevelandart.org/art/1929.136" TargetMode="External"/><Relationship Id="rId262" Type="http://schemas.openxmlformats.org/officeDocument/2006/relationships/hyperlink" Target="https://openaccess-cdn.clevelandart.org/2011.111.2/2011.111.2_web.jpg" TargetMode="External"/><Relationship Id="rId78" Type="http://schemas.openxmlformats.org/officeDocument/2006/relationships/hyperlink" Target="https://openaccess-cdn.clevelandart.org/1940.515/1940.515_web.jpg" TargetMode="External"/><Relationship Id="rId99" Type="http://schemas.openxmlformats.org/officeDocument/2006/relationships/hyperlink" Target="https://clevelandart.org/art/1940.526" TargetMode="External"/><Relationship Id="rId101" Type="http://schemas.openxmlformats.org/officeDocument/2006/relationships/hyperlink" Target="https://clevelandart.org/art/1940.527" TargetMode="External"/><Relationship Id="rId122" Type="http://schemas.openxmlformats.org/officeDocument/2006/relationships/hyperlink" Target="https://openaccess-cdn.clevelandart.org/1946.75/1946.75_web.jpg" TargetMode="External"/><Relationship Id="rId143" Type="http://schemas.openxmlformats.org/officeDocument/2006/relationships/hyperlink" Target="https://clevelandart.org/art/1951.393" TargetMode="External"/><Relationship Id="rId164" Type="http://schemas.openxmlformats.org/officeDocument/2006/relationships/hyperlink" Target="https://openaccess-cdn.clevelandart.org/1977.190/1977.190_web.jpg" TargetMode="External"/><Relationship Id="rId185" Type="http://schemas.openxmlformats.org/officeDocument/2006/relationships/hyperlink" Target="https://clevelandart.org/art/1992.231.2" TargetMode="External"/><Relationship Id="rId9" Type="http://schemas.openxmlformats.org/officeDocument/2006/relationships/hyperlink" Target="https://clevelandart.org/art/1922.394" TargetMode="External"/><Relationship Id="rId210" Type="http://schemas.openxmlformats.org/officeDocument/2006/relationships/hyperlink" Target="https://openaccess-cdn.clevelandart.org/2005.15/2005.15_web.jpg" TargetMode="External"/><Relationship Id="rId26" Type="http://schemas.openxmlformats.org/officeDocument/2006/relationships/hyperlink" Target="https://openaccess-cdn.clevelandart.org/1922.396.b/1922.396.b_web.jpg" TargetMode="External"/><Relationship Id="rId231" Type="http://schemas.openxmlformats.org/officeDocument/2006/relationships/hyperlink" Target="https://clevelandart.org/art/2005.53" TargetMode="External"/><Relationship Id="rId252" Type="http://schemas.openxmlformats.org/officeDocument/2006/relationships/hyperlink" Target="https://openaccess-cdn.clevelandart.org/2007.2.6/2007.2.6_web.jpg" TargetMode="External"/><Relationship Id="rId273" Type="http://schemas.openxmlformats.org/officeDocument/2006/relationships/hyperlink" Target="https://clevelandart.org/art/1917.26" TargetMode="External"/><Relationship Id="rId47" Type="http://schemas.openxmlformats.org/officeDocument/2006/relationships/hyperlink" Target="https://clevelandart.org/art/1925.665" TargetMode="External"/><Relationship Id="rId68" Type="http://schemas.openxmlformats.org/officeDocument/2006/relationships/hyperlink" Target="https://openaccess-cdn.clevelandart.org/1940.495/1940.495_web.jpg" TargetMode="External"/><Relationship Id="rId89" Type="http://schemas.openxmlformats.org/officeDocument/2006/relationships/hyperlink" Target="https://clevelandart.org/art/1940.521" TargetMode="External"/><Relationship Id="rId112" Type="http://schemas.openxmlformats.org/officeDocument/2006/relationships/hyperlink" Target="https://openaccess-cdn.clevelandart.org/1945.378/1945.378_web.jpg" TargetMode="External"/><Relationship Id="rId133" Type="http://schemas.openxmlformats.org/officeDocument/2006/relationships/hyperlink" Target="https://clevelandart.org/art/1948.482" TargetMode="External"/><Relationship Id="rId154" Type="http://schemas.openxmlformats.org/officeDocument/2006/relationships/hyperlink" Target="https://openaccess-cdn.clevelandart.org/1957.136/1957.136_web.jpg" TargetMode="External"/><Relationship Id="rId175" Type="http://schemas.openxmlformats.org/officeDocument/2006/relationships/hyperlink" Target="https://clevelandart.org/art/1991.223" TargetMode="External"/><Relationship Id="rId196" Type="http://schemas.openxmlformats.org/officeDocument/2006/relationships/hyperlink" Target="https://openaccess-cdn.clevelandart.org/1996.348.b/1996.348.b_web.jpg" TargetMode="External"/><Relationship Id="rId200" Type="http://schemas.openxmlformats.org/officeDocument/2006/relationships/hyperlink" Target="https://openaccess-cdn.clevelandart.org/1998.52/1998.52_web.jpg" TargetMode="External"/><Relationship Id="rId16" Type="http://schemas.openxmlformats.org/officeDocument/2006/relationships/hyperlink" Target="https://openaccess-cdn.clevelandart.org/1922.395.b/1922.395.b_web.jpg" TargetMode="External"/><Relationship Id="rId221" Type="http://schemas.openxmlformats.org/officeDocument/2006/relationships/hyperlink" Target="https://clevelandart.org/art/2005.5.1" TargetMode="External"/><Relationship Id="rId242" Type="http://schemas.openxmlformats.org/officeDocument/2006/relationships/hyperlink" Target="https://openaccess-cdn.clevelandart.org/2007.2.1/2007.2.1_web.jpg" TargetMode="External"/><Relationship Id="rId263" Type="http://schemas.openxmlformats.org/officeDocument/2006/relationships/hyperlink" Target="https://clevelandart.org/art/2014.389" TargetMode="External"/><Relationship Id="rId37" Type="http://schemas.openxmlformats.org/officeDocument/2006/relationships/hyperlink" Target="https://clevelandart.org/art/1922.517" TargetMode="External"/><Relationship Id="rId58" Type="http://schemas.openxmlformats.org/officeDocument/2006/relationships/hyperlink" Target="https://openaccess-cdn.clevelandart.org/1929.136/1929.136_web.jpg" TargetMode="External"/><Relationship Id="rId79" Type="http://schemas.openxmlformats.org/officeDocument/2006/relationships/hyperlink" Target="https://clevelandart.org/art/1940.516" TargetMode="External"/><Relationship Id="rId102" Type="http://schemas.openxmlformats.org/officeDocument/2006/relationships/hyperlink" Target="https://openaccess-cdn.clevelandart.org/1940.527/1940.527_web.jpg" TargetMode="External"/><Relationship Id="rId123" Type="http://schemas.openxmlformats.org/officeDocument/2006/relationships/hyperlink" Target="https://clevelandart.org/art/1947.291" TargetMode="External"/><Relationship Id="rId144" Type="http://schemas.openxmlformats.org/officeDocument/2006/relationships/hyperlink" Target="https://openaccess-cdn.clevelandart.org/1951.393/1951.393_web.jpg" TargetMode="External"/><Relationship Id="rId90" Type="http://schemas.openxmlformats.org/officeDocument/2006/relationships/hyperlink" Target="https://openaccess-cdn.clevelandart.org/1940.521/1940.521_web.jpg" TargetMode="External"/><Relationship Id="rId165" Type="http://schemas.openxmlformats.org/officeDocument/2006/relationships/hyperlink" Target="https://clevelandart.org/art/1985.139" TargetMode="External"/><Relationship Id="rId186" Type="http://schemas.openxmlformats.org/officeDocument/2006/relationships/hyperlink" Target="https://openaccess-cdn.clevelandart.org/1992.231.2/1992.231.2_web.jpg" TargetMode="External"/><Relationship Id="rId211" Type="http://schemas.openxmlformats.org/officeDocument/2006/relationships/hyperlink" Target="https://clevelandart.org/art/2005.16" TargetMode="External"/><Relationship Id="rId232" Type="http://schemas.openxmlformats.org/officeDocument/2006/relationships/hyperlink" Target="https://openaccess-cdn.clevelandart.org/2005.53/2005.53_web.jpg" TargetMode="External"/><Relationship Id="rId253" Type="http://schemas.openxmlformats.org/officeDocument/2006/relationships/hyperlink" Target="https://clevelandart.org/art/2007.2.7" TargetMode="External"/><Relationship Id="rId274" Type="http://schemas.openxmlformats.org/officeDocument/2006/relationships/hyperlink" Target="https://openaccess-cdn.clevelandart.org/1917.26/1917.26_web.jpg" TargetMode="External"/><Relationship Id="rId27" Type="http://schemas.openxmlformats.org/officeDocument/2006/relationships/hyperlink" Target="https://clevelandart.org/art/1922.396.c" TargetMode="External"/><Relationship Id="rId48" Type="http://schemas.openxmlformats.org/officeDocument/2006/relationships/hyperlink" Target="https://openaccess-cdn.clevelandart.org/1925.665/1925.665_web.jpg" TargetMode="External"/><Relationship Id="rId69" Type="http://schemas.openxmlformats.org/officeDocument/2006/relationships/hyperlink" Target="https://clevelandart.org/art/1940.496" TargetMode="External"/><Relationship Id="rId113" Type="http://schemas.openxmlformats.org/officeDocument/2006/relationships/hyperlink" Target="https://clevelandart.org/art/1945.379" TargetMode="External"/><Relationship Id="rId134" Type="http://schemas.openxmlformats.org/officeDocument/2006/relationships/hyperlink" Target="https://openaccess-cdn.clevelandart.org/1948.482/1948.482_web.jpg" TargetMode="External"/><Relationship Id="rId80" Type="http://schemas.openxmlformats.org/officeDocument/2006/relationships/hyperlink" Target="https://openaccess-cdn.clevelandart.org/1940.516/1940.516_web.jpg" TargetMode="External"/><Relationship Id="rId155" Type="http://schemas.openxmlformats.org/officeDocument/2006/relationships/hyperlink" Target="https://clevelandart.org/art/1957.340" TargetMode="External"/><Relationship Id="rId176" Type="http://schemas.openxmlformats.org/officeDocument/2006/relationships/hyperlink" Target="https://openaccess-cdn.clevelandart.org/1991.223/1991.223_web.jpg" TargetMode="External"/><Relationship Id="rId197" Type="http://schemas.openxmlformats.org/officeDocument/2006/relationships/hyperlink" Target="https://clevelandart.org/art/1997.150" TargetMode="External"/><Relationship Id="rId201" Type="http://schemas.openxmlformats.org/officeDocument/2006/relationships/hyperlink" Target="https://clevelandart.org/art/1998.53" TargetMode="External"/><Relationship Id="rId222" Type="http://schemas.openxmlformats.org/officeDocument/2006/relationships/hyperlink" Target="https://openaccess-cdn.clevelandart.org/2005.5.1/2005.5.1_web.jpg" TargetMode="External"/><Relationship Id="rId243" Type="http://schemas.openxmlformats.org/officeDocument/2006/relationships/hyperlink" Target="https://clevelandart.org/art/2007.2.2" TargetMode="External"/><Relationship Id="rId264" Type="http://schemas.openxmlformats.org/officeDocument/2006/relationships/hyperlink" Target="https://openaccess-cdn.clevelandart.org/2014.389/2014.389_web.jpg" TargetMode="External"/><Relationship Id="rId17" Type="http://schemas.openxmlformats.org/officeDocument/2006/relationships/hyperlink" Target="https://clevelandart.org/art/1922.395.c" TargetMode="External"/><Relationship Id="rId38" Type="http://schemas.openxmlformats.org/officeDocument/2006/relationships/hyperlink" Target="https://openaccess-cdn.clevelandart.org/1922.517/1922.517_web.jpg" TargetMode="External"/><Relationship Id="rId59" Type="http://schemas.openxmlformats.org/officeDocument/2006/relationships/hyperlink" Target="https://clevelandart.org/art/1933.392" TargetMode="External"/><Relationship Id="rId103" Type="http://schemas.openxmlformats.org/officeDocument/2006/relationships/hyperlink" Target="https://clevelandart.org/art/1940.528" TargetMode="External"/><Relationship Id="rId124" Type="http://schemas.openxmlformats.org/officeDocument/2006/relationships/hyperlink" Target="https://openaccess-cdn.clevelandart.org/1947.291/1947.291_web.jpg" TargetMode="External"/><Relationship Id="rId70" Type="http://schemas.openxmlformats.org/officeDocument/2006/relationships/hyperlink" Target="https://openaccess-cdn.clevelandart.org/1940.496/1940.496_web.jpg" TargetMode="External"/><Relationship Id="rId91" Type="http://schemas.openxmlformats.org/officeDocument/2006/relationships/hyperlink" Target="https://clevelandart.org/art/1940.522" TargetMode="External"/><Relationship Id="rId145" Type="http://schemas.openxmlformats.org/officeDocument/2006/relationships/hyperlink" Target="https://clevelandart.org/art/1953.288" TargetMode="External"/><Relationship Id="rId166" Type="http://schemas.openxmlformats.org/officeDocument/2006/relationships/hyperlink" Target="https://openaccess-cdn.clevelandart.org/1985.139/1985.139_web.jpg" TargetMode="External"/><Relationship Id="rId187" Type="http://schemas.openxmlformats.org/officeDocument/2006/relationships/hyperlink" Target="https://clevelandart.org/art/1993.242" TargetMode="External"/><Relationship Id="rId1" Type="http://schemas.openxmlformats.org/officeDocument/2006/relationships/hyperlink" Target="https://clevelandart.org/art/1921.1550" TargetMode="External"/><Relationship Id="rId212" Type="http://schemas.openxmlformats.org/officeDocument/2006/relationships/hyperlink" Target="https://openaccess-cdn.clevelandart.org/2005.16/2005.16_web.jpg" TargetMode="External"/><Relationship Id="rId233" Type="http://schemas.openxmlformats.org/officeDocument/2006/relationships/hyperlink" Target="https://clevelandart.org/art/2005.53.a" TargetMode="External"/><Relationship Id="rId254" Type="http://schemas.openxmlformats.org/officeDocument/2006/relationships/hyperlink" Target="https://openaccess-cdn.clevelandart.org/2007.2.7/2007.2.7_web.jpg" TargetMode="External"/><Relationship Id="rId28" Type="http://schemas.openxmlformats.org/officeDocument/2006/relationships/hyperlink" Target="https://openaccess-cdn.clevelandart.org/1922.396.c/1922.396.c_web.jpg" TargetMode="External"/><Relationship Id="rId49" Type="http://schemas.openxmlformats.org/officeDocument/2006/relationships/hyperlink" Target="https://clevelandart.org/art/1925.667" TargetMode="External"/><Relationship Id="rId114" Type="http://schemas.openxmlformats.org/officeDocument/2006/relationships/hyperlink" Target="https://openaccess-cdn.clevelandart.org/1945.379/1945.379_web.jpg" TargetMode="External"/><Relationship Id="rId275" Type="http://schemas.openxmlformats.org/officeDocument/2006/relationships/hyperlink" Target="https://clevelandart.org/art/1917.27" TargetMode="External"/><Relationship Id="rId60" Type="http://schemas.openxmlformats.org/officeDocument/2006/relationships/hyperlink" Target="https://openaccess-cdn.clevelandart.org/1933.392/1933.392_web.jpg" TargetMode="External"/><Relationship Id="rId81" Type="http://schemas.openxmlformats.org/officeDocument/2006/relationships/hyperlink" Target="https://clevelandart.org/art/1940.517" TargetMode="External"/><Relationship Id="rId135" Type="http://schemas.openxmlformats.org/officeDocument/2006/relationships/hyperlink" Target="https://clevelandart.org/art/1949.12" TargetMode="External"/><Relationship Id="rId156" Type="http://schemas.openxmlformats.org/officeDocument/2006/relationships/hyperlink" Target="https://openaccess-cdn.clevelandart.org/1957.340/1957.340_web.jpg" TargetMode="External"/><Relationship Id="rId177" Type="http://schemas.openxmlformats.org/officeDocument/2006/relationships/hyperlink" Target="https://clevelandart.org/art/1992.103" TargetMode="External"/><Relationship Id="rId198" Type="http://schemas.openxmlformats.org/officeDocument/2006/relationships/hyperlink" Target="https://openaccess-cdn.clevelandart.org/1997.150/1997.150_web.jpg" TargetMode="External"/><Relationship Id="rId202" Type="http://schemas.openxmlformats.org/officeDocument/2006/relationships/hyperlink" Target="https://openaccess-cdn.clevelandart.org/1998.53/1998.53_web.jpg" TargetMode="External"/><Relationship Id="rId223" Type="http://schemas.openxmlformats.org/officeDocument/2006/relationships/hyperlink" Target="https://clevelandart.org/art/2005.5.2" TargetMode="External"/><Relationship Id="rId244" Type="http://schemas.openxmlformats.org/officeDocument/2006/relationships/hyperlink" Target="https://openaccess-cdn.clevelandart.org/2007.2.2/2007.2.2_web.jpg" TargetMode="External"/><Relationship Id="rId18" Type="http://schemas.openxmlformats.org/officeDocument/2006/relationships/hyperlink" Target="https://openaccess-cdn.clevelandart.org/1922.395.c/1922.395.c_web.jpg" TargetMode="External"/><Relationship Id="rId39" Type="http://schemas.openxmlformats.org/officeDocument/2006/relationships/hyperlink" Target="https://clevelandart.org/art/1925.480" TargetMode="External"/><Relationship Id="rId265" Type="http://schemas.openxmlformats.org/officeDocument/2006/relationships/hyperlink" Target="https://clevelandart.org/art/2016.267" TargetMode="External"/><Relationship Id="rId50" Type="http://schemas.openxmlformats.org/officeDocument/2006/relationships/hyperlink" Target="https://openaccess-cdn.clevelandart.org/1925.667/1925.667_web.jpg" TargetMode="External"/><Relationship Id="rId104" Type="http://schemas.openxmlformats.org/officeDocument/2006/relationships/hyperlink" Target="https://openaccess-cdn.clevelandart.org/1940.528/1940.528_web.jpg" TargetMode="External"/><Relationship Id="rId125" Type="http://schemas.openxmlformats.org/officeDocument/2006/relationships/hyperlink" Target="https://clevelandart.org/art/1948.478" TargetMode="External"/><Relationship Id="rId146" Type="http://schemas.openxmlformats.org/officeDocument/2006/relationships/hyperlink" Target="https://openaccess-cdn.clevelandart.org/1953.288/1953.288_web.jpg" TargetMode="External"/><Relationship Id="rId167" Type="http://schemas.openxmlformats.org/officeDocument/2006/relationships/hyperlink" Target="https://clevelandart.org/art/1985.193" TargetMode="External"/><Relationship Id="rId188" Type="http://schemas.openxmlformats.org/officeDocument/2006/relationships/hyperlink" Target="https://openaccess-cdn.clevelandart.org/1993.242/1993.242_web.jpg" TargetMode="External"/><Relationship Id="rId71" Type="http://schemas.openxmlformats.org/officeDocument/2006/relationships/hyperlink" Target="https://clevelandart.org/art/1940.497" TargetMode="External"/><Relationship Id="rId92" Type="http://schemas.openxmlformats.org/officeDocument/2006/relationships/hyperlink" Target="https://openaccess-cdn.clevelandart.org/1940.522/1940.522_web.jpg" TargetMode="External"/><Relationship Id="rId213" Type="http://schemas.openxmlformats.org/officeDocument/2006/relationships/hyperlink" Target="https://clevelandart.org/art/2005.17" TargetMode="External"/><Relationship Id="rId234" Type="http://schemas.openxmlformats.org/officeDocument/2006/relationships/hyperlink" Target="https://openaccess-cdn.clevelandart.org/2005.53.a/2005.53.a_web.jpg" TargetMode="External"/><Relationship Id="rId2" Type="http://schemas.openxmlformats.org/officeDocument/2006/relationships/hyperlink" Target="https://openaccess-cdn.clevelandart.org/1921.1550/1921.1550_web.jpg" TargetMode="External"/><Relationship Id="rId29" Type="http://schemas.openxmlformats.org/officeDocument/2006/relationships/hyperlink" Target="https://clevelandart.org/art/1922.397" TargetMode="External"/><Relationship Id="rId255" Type="http://schemas.openxmlformats.org/officeDocument/2006/relationships/hyperlink" Target="https://clevelandart.org/art/2008.58" TargetMode="External"/><Relationship Id="rId276" Type="http://schemas.openxmlformats.org/officeDocument/2006/relationships/hyperlink" Target="https://openaccess-cdn.clevelandart.org/1917.27/1917.27_web.jpg" TargetMode="External"/><Relationship Id="rId40" Type="http://schemas.openxmlformats.org/officeDocument/2006/relationships/hyperlink" Target="https://openaccess-cdn.clevelandart.org/1925.480/1925.480_web.jpg" TargetMode="External"/><Relationship Id="rId115" Type="http://schemas.openxmlformats.org/officeDocument/2006/relationships/hyperlink" Target="https://clevelandart.org/art/1946.226" TargetMode="External"/><Relationship Id="rId136" Type="http://schemas.openxmlformats.org/officeDocument/2006/relationships/hyperlink" Target="https://openaccess-cdn.clevelandart.org/1949.12/1949.12_web.jpg" TargetMode="External"/><Relationship Id="rId157" Type="http://schemas.openxmlformats.org/officeDocument/2006/relationships/hyperlink" Target="https://clevelandart.org/art/1957.495" TargetMode="External"/><Relationship Id="rId178" Type="http://schemas.openxmlformats.org/officeDocument/2006/relationships/hyperlink" Target="https://openaccess-cdn.clevelandart.org/1992.103/1992.103_web.jpg" TargetMode="External"/><Relationship Id="rId61" Type="http://schemas.openxmlformats.org/officeDocument/2006/relationships/hyperlink" Target="https://clevelandart.org/art/1933.393" TargetMode="External"/><Relationship Id="rId82" Type="http://schemas.openxmlformats.org/officeDocument/2006/relationships/hyperlink" Target="https://openaccess-cdn.clevelandart.org/1940.517/1940.517_web.jpg" TargetMode="External"/><Relationship Id="rId199" Type="http://schemas.openxmlformats.org/officeDocument/2006/relationships/hyperlink" Target="https://clevelandart.org/art/1998.52" TargetMode="External"/><Relationship Id="rId203" Type="http://schemas.openxmlformats.org/officeDocument/2006/relationships/hyperlink" Target="https://clevelandart.org/art/2002.93" TargetMode="External"/><Relationship Id="rId19" Type="http://schemas.openxmlformats.org/officeDocument/2006/relationships/hyperlink" Target="https://clevelandart.org/art/1922.395.d" TargetMode="External"/><Relationship Id="rId224" Type="http://schemas.openxmlformats.org/officeDocument/2006/relationships/hyperlink" Target="https://openaccess-cdn.clevelandart.org/2005.5.2/2005.5.2_web.jpg" TargetMode="External"/><Relationship Id="rId245" Type="http://schemas.openxmlformats.org/officeDocument/2006/relationships/hyperlink" Target="https://clevelandart.org/art/2007.2.3" TargetMode="External"/><Relationship Id="rId266" Type="http://schemas.openxmlformats.org/officeDocument/2006/relationships/hyperlink" Target="https://openaccess-cdn.clevelandart.org/2016.267/2016.267_web.jpg" TargetMode="External"/><Relationship Id="rId30" Type="http://schemas.openxmlformats.org/officeDocument/2006/relationships/hyperlink" Target="https://openaccess-cdn.clevelandart.org/1922.397/1922.397_web.jpg" TargetMode="External"/><Relationship Id="rId105" Type="http://schemas.openxmlformats.org/officeDocument/2006/relationships/hyperlink" Target="https://clevelandart.org/art/1940.529" TargetMode="External"/><Relationship Id="rId126" Type="http://schemas.openxmlformats.org/officeDocument/2006/relationships/hyperlink" Target="https://openaccess-cdn.clevelandart.org/1948.478/1948.478_web.jpg" TargetMode="External"/><Relationship Id="rId147" Type="http://schemas.openxmlformats.org/officeDocument/2006/relationships/hyperlink" Target="https://clevelandart.org/art/1953.475" TargetMode="External"/><Relationship Id="rId168" Type="http://schemas.openxmlformats.org/officeDocument/2006/relationships/hyperlink" Target="https://openaccess-cdn.clevelandart.org/1985.193/1985.193_web.jpg" TargetMode="External"/><Relationship Id="rId51" Type="http://schemas.openxmlformats.org/officeDocument/2006/relationships/hyperlink" Target="https://clevelandart.org/art/1925.668" TargetMode="External"/><Relationship Id="rId72" Type="http://schemas.openxmlformats.org/officeDocument/2006/relationships/hyperlink" Target="https://openaccess-cdn.clevelandart.org/1940.497/1940.497_web.jpg" TargetMode="External"/><Relationship Id="rId93" Type="http://schemas.openxmlformats.org/officeDocument/2006/relationships/hyperlink" Target="https://clevelandart.org/art/1940.523" TargetMode="External"/><Relationship Id="rId189" Type="http://schemas.openxmlformats.org/officeDocument/2006/relationships/hyperlink" Target="https://clevelandart.org/art/1993.243" TargetMode="External"/><Relationship Id="rId3" Type="http://schemas.openxmlformats.org/officeDocument/2006/relationships/hyperlink" Target="https://clevelandart.org/art/1922.389" TargetMode="External"/><Relationship Id="rId214" Type="http://schemas.openxmlformats.org/officeDocument/2006/relationships/hyperlink" Target="https://openaccess-cdn.clevelandart.org/2005.17/2005.17_web.jpg" TargetMode="External"/><Relationship Id="rId235" Type="http://schemas.openxmlformats.org/officeDocument/2006/relationships/hyperlink" Target="https://clevelandart.org/art/2005.53.b" TargetMode="External"/><Relationship Id="rId256" Type="http://schemas.openxmlformats.org/officeDocument/2006/relationships/hyperlink" Target="https://openaccess-cdn.clevelandart.org/2008.58/2008.58_web.jpg" TargetMode="External"/><Relationship Id="rId277" Type="http://schemas.openxmlformats.org/officeDocument/2006/relationships/vmlDrawing" Target="../drawings/vmlDrawing1.vml"/><Relationship Id="rId116" Type="http://schemas.openxmlformats.org/officeDocument/2006/relationships/hyperlink" Target="https://openaccess-cdn.clevelandart.org/1946.226/1946.226_web.jpg" TargetMode="External"/><Relationship Id="rId137" Type="http://schemas.openxmlformats.org/officeDocument/2006/relationships/hyperlink" Target="https://clevelandart.org/art/1949.192" TargetMode="External"/><Relationship Id="rId158" Type="http://schemas.openxmlformats.org/officeDocument/2006/relationships/hyperlink" Target="https://openaccess-cdn.clevelandart.org/1957.495/1957.495_web.jpg" TargetMode="External"/><Relationship Id="rId20" Type="http://schemas.openxmlformats.org/officeDocument/2006/relationships/hyperlink" Target="https://openaccess-cdn.clevelandart.org/1922.395.d/1922.395.d_web.jpg" TargetMode="External"/><Relationship Id="rId41" Type="http://schemas.openxmlformats.org/officeDocument/2006/relationships/hyperlink" Target="https://clevelandart.org/art/1925.654" TargetMode="External"/><Relationship Id="rId62" Type="http://schemas.openxmlformats.org/officeDocument/2006/relationships/hyperlink" Target="https://openaccess-cdn.clevelandart.org/1933.393/1933.393_web.jpg" TargetMode="External"/><Relationship Id="rId83" Type="http://schemas.openxmlformats.org/officeDocument/2006/relationships/hyperlink" Target="https://clevelandart.org/art/1940.518" TargetMode="External"/><Relationship Id="rId179" Type="http://schemas.openxmlformats.org/officeDocument/2006/relationships/hyperlink" Target="https://clevelandart.org/art/1992.104" TargetMode="External"/><Relationship Id="rId190" Type="http://schemas.openxmlformats.org/officeDocument/2006/relationships/hyperlink" Target="https://openaccess-cdn.clevelandart.org/1993.243/1993.243_web.jpg" TargetMode="External"/><Relationship Id="rId204" Type="http://schemas.openxmlformats.org/officeDocument/2006/relationships/hyperlink" Target="https://openaccess-cdn.clevelandart.org/2002.93/2002.93_web.jpg" TargetMode="External"/><Relationship Id="rId225" Type="http://schemas.openxmlformats.org/officeDocument/2006/relationships/hyperlink" Target="https://clevelandart.org/art/2005.5.3" TargetMode="External"/><Relationship Id="rId246" Type="http://schemas.openxmlformats.org/officeDocument/2006/relationships/hyperlink" Target="https://openaccess-cdn.clevelandart.org/2007.2.3/2007.2.3_web.jpg" TargetMode="External"/><Relationship Id="rId267" Type="http://schemas.openxmlformats.org/officeDocument/2006/relationships/hyperlink" Target="https://clevelandart.org/art/2017.56" TargetMode="External"/><Relationship Id="rId106" Type="http://schemas.openxmlformats.org/officeDocument/2006/relationships/hyperlink" Target="https://openaccess-cdn.clevelandart.org/1940.529/1940.529_web.jpg" TargetMode="External"/><Relationship Id="rId127" Type="http://schemas.openxmlformats.org/officeDocument/2006/relationships/hyperlink" Target="https://clevelandart.org/art/1948.479" TargetMode="External"/><Relationship Id="rId10" Type="http://schemas.openxmlformats.org/officeDocument/2006/relationships/hyperlink" Target="https://openaccess-cdn.clevelandart.org/1922.394/1922.394_web.jpg" TargetMode="External"/><Relationship Id="rId31" Type="http://schemas.openxmlformats.org/officeDocument/2006/relationships/hyperlink" Target="https://clevelandart.org/art/1922.397.a" TargetMode="External"/><Relationship Id="rId52" Type="http://schemas.openxmlformats.org/officeDocument/2006/relationships/hyperlink" Target="https://openaccess-cdn.clevelandart.org/1925.668/1925.668_web.jpg" TargetMode="External"/><Relationship Id="rId73" Type="http://schemas.openxmlformats.org/officeDocument/2006/relationships/hyperlink" Target="https://clevelandart.org/art/1940.498" TargetMode="External"/><Relationship Id="rId94" Type="http://schemas.openxmlformats.org/officeDocument/2006/relationships/hyperlink" Target="https://openaccess-cdn.clevelandart.org/1940.523/1940.523_web.jpg" TargetMode="External"/><Relationship Id="rId148" Type="http://schemas.openxmlformats.org/officeDocument/2006/relationships/hyperlink" Target="https://openaccess-cdn.clevelandart.org/1953.475/1953.475_web.jpg" TargetMode="External"/><Relationship Id="rId169" Type="http://schemas.openxmlformats.org/officeDocument/2006/relationships/hyperlink" Target="https://clevelandart.org/art/1985.7" TargetMode="External"/><Relationship Id="rId4" Type="http://schemas.openxmlformats.org/officeDocument/2006/relationships/hyperlink" Target="https://openaccess-cdn.clevelandart.org/1922.389/1922.389_web.jpg" TargetMode="External"/><Relationship Id="rId180" Type="http://schemas.openxmlformats.org/officeDocument/2006/relationships/hyperlink" Target="https://openaccess-cdn.clevelandart.org/1992.104/1992.104_web.jpg" TargetMode="External"/><Relationship Id="rId215" Type="http://schemas.openxmlformats.org/officeDocument/2006/relationships/hyperlink" Target="https://clevelandart.org/art/2005.18" TargetMode="External"/><Relationship Id="rId236" Type="http://schemas.openxmlformats.org/officeDocument/2006/relationships/hyperlink" Target="https://openaccess-cdn.clevelandart.org/2005.53.b/2005.53.b_web.jpg" TargetMode="External"/><Relationship Id="rId257" Type="http://schemas.openxmlformats.org/officeDocument/2006/relationships/hyperlink" Target="https://clevelandart.org/art/2011.111" TargetMode="External"/><Relationship Id="rId278" Type="http://schemas.openxmlformats.org/officeDocument/2006/relationships/comments" Target="../comments1.xml"/><Relationship Id="rId42" Type="http://schemas.openxmlformats.org/officeDocument/2006/relationships/hyperlink" Target="https://openaccess-cdn.clevelandart.org/1925.654/1925.654_web.jpg" TargetMode="External"/><Relationship Id="rId84" Type="http://schemas.openxmlformats.org/officeDocument/2006/relationships/hyperlink" Target="https://openaccess-cdn.clevelandart.org/1940.518/1940.518_web.jpg" TargetMode="External"/><Relationship Id="rId138" Type="http://schemas.openxmlformats.org/officeDocument/2006/relationships/hyperlink" Target="https://openaccess-cdn.clevelandart.org/1949.192/1949.192_web.jpg" TargetMode="External"/><Relationship Id="rId191" Type="http://schemas.openxmlformats.org/officeDocument/2006/relationships/hyperlink" Target="https://clevelandart.org/art/1996.348" TargetMode="External"/><Relationship Id="rId205" Type="http://schemas.openxmlformats.org/officeDocument/2006/relationships/hyperlink" Target="https://clevelandart.org/art/2005.13" TargetMode="External"/><Relationship Id="rId247" Type="http://schemas.openxmlformats.org/officeDocument/2006/relationships/hyperlink" Target="https://clevelandart.org/art/2007.2.4" TargetMode="External"/><Relationship Id="rId107" Type="http://schemas.openxmlformats.org/officeDocument/2006/relationships/hyperlink" Target="https://clevelandart.org/art/1940.530" TargetMode="External"/><Relationship Id="rId11" Type="http://schemas.openxmlformats.org/officeDocument/2006/relationships/hyperlink" Target="https://clevelandart.org/art/1922.395" TargetMode="External"/><Relationship Id="rId53" Type="http://schemas.openxmlformats.org/officeDocument/2006/relationships/hyperlink" Target="https://clevelandart.org/art/1925.669" TargetMode="External"/><Relationship Id="rId149" Type="http://schemas.openxmlformats.org/officeDocument/2006/relationships/hyperlink" Target="https://clevelandart.org/art/1954.68" TargetMode="External"/><Relationship Id="rId95" Type="http://schemas.openxmlformats.org/officeDocument/2006/relationships/hyperlink" Target="https://clevelandart.org/art/1940.524" TargetMode="External"/><Relationship Id="rId160" Type="http://schemas.openxmlformats.org/officeDocument/2006/relationships/hyperlink" Target="https://openaccess-cdn.clevelandart.org/1958.412/1958.412_web.jpg" TargetMode="External"/><Relationship Id="rId216" Type="http://schemas.openxmlformats.org/officeDocument/2006/relationships/hyperlink" Target="https://openaccess-cdn.clevelandart.org/2005.18/2005.18_web.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workbookViewId="0">
      <selection activeCell="B12" sqref="B12"/>
    </sheetView>
  </sheetViews>
  <sheetFormatPr baseColWidth="10" defaultColWidth="8.88671875" defaultRowHeight="14.4" x14ac:dyDescent="0.3"/>
  <cols>
    <col min="1" max="1" width="28" customWidth="1"/>
    <col min="2" max="2" width="110" customWidth="1"/>
  </cols>
  <sheetData>
    <row r="1" spans="1:8" ht="21" x14ac:dyDescent="0.4">
      <c r="A1" s="9" t="s">
        <v>0</v>
      </c>
      <c r="B1" s="8"/>
      <c r="C1" s="8"/>
      <c r="D1" s="8"/>
      <c r="E1" s="8"/>
      <c r="F1" s="8"/>
      <c r="G1" s="8"/>
      <c r="H1" s="8"/>
    </row>
    <row r="2" spans="1:8" x14ac:dyDescent="0.3">
      <c r="A2" s="7" t="s">
        <v>1098</v>
      </c>
      <c r="B2" s="8"/>
      <c r="C2" s="8"/>
      <c r="D2" s="8"/>
      <c r="E2" s="8"/>
      <c r="F2" s="8"/>
      <c r="G2" s="8"/>
      <c r="H2" s="8"/>
    </row>
    <row r="4" spans="1:8" x14ac:dyDescent="0.3">
      <c r="A4" s="1" t="s">
        <v>1</v>
      </c>
      <c r="B4" s="1" t="s">
        <v>2</v>
      </c>
      <c r="C4" s="1"/>
      <c r="D4" s="1"/>
      <c r="E4" s="1"/>
      <c r="F4" s="1"/>
      <c r="G4" s="1"/>
      <c r="H4" s="1"/>
    </row>
    <row r="5" spans="1:8" x14ac:dyDescent="0.3">
      <c r="A5" s="2" t="s">
        <v>3</v>
      </c>
      <c r="B5" s="2" t="s">
        <v>4</v>
      </c>
    </row>
    <row r="6" spans="1:8" x14ac:dyDescent="0.3">
      <c r="A6" s="2" t="s">
        <v>5</v>
      </c>
      <c r="B6" s="2" t="s">
        <v>6</v>
      </c>
    </row>
    <row r="7" spans="1:8" x14ac:dyDescent="0.3">
      <c r="A7" s="2" t="s">
        <v>7</v>
      </c>
      <c r="B7" s="2" t="s">
        <v>8</v>
      </c>
    </row>
    <row r="8" spans="1:8" x14ac:dyDescent="0.3">
      <c r="A8" s="2" t="s">
        <v>9</v>
      </c>
      <c r="B8" s="2" t="s">
        <v>10</v>
      </c>
    </row>
    <row r="9" spans="1:8" x14ac:dyDescent="0.3">
      <c r="A9" s="2" t="s">
        <v>11</v>
      </c>
      <c r="B9" s="2" t="s">
        <v>12</v>
      </c>
    </row>
    <row r="10" spans="1:8" x14ac:dyDescent="0.3">
      <c r="A10" s="2" t="s">
        <v>13</v>
      </c>
      <c r="B10" s="2" t="s">
        <v>14</v>
      </c>
    </row>
    <row r="11" spans="1:8" x14ac:dyDescent="0.3">
      <c r="A11" s="2" t="s">
        <v>15</v>
      </c>
      <c r="B11" s="2" t="s">
        <v>16</v>
      </c>
    </row>
    <row r="12" spans="1:8" ht="28.8" x14ac:dyDescent="0.3">
      <c r="A12" s="2" t="s">
        <v>17</v>
      </c>
      <c r="B12" s="2" t="s">
        <v>18</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39"/>
  <sheetViews>
    <sheetView tabSelected="1" topLeftCell="O1" workbookViewId="0">
      <pane ySplit="1" topLeftCell="A2" activePane="bottomLeft" state="frozen"/>
      <selection pane="bottomLeft" activeCell="P4" sqref="P4"/>
    </sheetView>
  </sheetViews>
  <sheetFormatPr baseColWidth="10" defaultColWidth="8.88671875" defaultRowHeight="14.4" x14ac:dyDescent="0.3"/>
  <cols>
    <col min="1" max="1" width="10" customWidth="1"/>
    <col min="2" max="2" width="24" customWidth="1"/>
    <col min="3" max="3" width="14" customWidth="1"/>
    <col min="4" max="4" width="18" customWidth="1"/>
    <col min="5" max="5" width="36" customWidth="1"/>
    <col min="6" max="6" width="22" customWidth="1"/>
    <col min="7" max="7" width="18" customWidth="1"/>
    <col min="8" max="8" width="22" customWidth="1"/>
    <col min="9" max="9" width="24" customWidth="1"/>
    <col min="10" max="10" width="26" customWidth="1"/>
    <col min="11" max="11" width="34" customWidth="1"/>
    <col min="12" max="12" width="48" customWidth="1"/>
    <col min="13" max="14" width="30" customWidth="1"/>
    <col min="15" max="16" width="18" customWidth="1"/>
    <col min="17" max="18" width="26" customWidth="1"/>
    <col min="19" max="19" width="24" customWidth="1"/>
    <col min="20" max="20" width="34" customWidth="1"/>
    <col min="21" max="22" width="24" customWidth="1"/>
    <col min="23" max="23" width="36" customWidth="1"/>
    <col min="24" max="24" width="46" customWidth="1"/>
    <col min="25" max="26" width="18" customWidth="1"/>
    <col min="27" max="27" width="16" customWidth="1"/>
    <col min="28" max="29" width="22" customWidth="1"/>
    <col min="30" max="30" width="20" customWidth="1"/>
    <col min="31" max="32" width="38" customWidth="1"/>
    <col min="33" max="33" width="18" customWidth="1"/>
    <col min="34" max="34" width="16" customWidth="1"/>
  </cols>
  <sheetData>
    <row r="1" spans="1:34" ht="28.8" x14ac:dyDescent="0.3">
      <c r="A1" s="1" t="s">
        <v>19</v>
      </c>
      <c r="B1" s="1" t="s">
        <v>20</v>
      </c>
      <c r="C1" s="1" t="s">
        <v>21</v>
      </c>
      <c r="D1" s="1" t="s">
        <v>22</v>
      </c>
      <c r="E1" s="1" t="s">
        <v>23</v>
      </c>
      <c r="F1" s="1" t="s">
        <v>24</v>
      </c>
      <c r="G1" s="1" t="s">
        <v>25</v>
      </c>
      <c r="H1" s="1" t="s">
        <v>26</v>
      </c>
      <c r="I1" s="1" t="s">
        <v>27</v>
      </c>
      <c r="J1" s="1" t="s">
        <v>28</v>
      </c>
      <c r="K1" s="1" t="s">
        <v>29</v>
      </c>
      <c r="L1" s="1" t="s">
        <v>30</v>
      </c>
      <c r="M1" s="1" t="s">
        <v>31</v>
      </c>
      <c r="N1" s="1" t="s">
        <v>32</v>
      </c>
      <c r="O1" s="1" t="s">
        <v>33</v>
      </c>
      <c r="P1" s="1" t="s">
        <v>34</v>
      </c>
      <c r="Q1" s="1" t="s">
        <v>35</v>
      </c>
      <c r="R1" s="1" t="s">
        <v>36</v>
      </c>
      <c r="S1" s="1" t="s">
        <v>37</v>
      </c>
      <c r="T1" s="1" t="s">
        <v>38</v>
      </c>
      <c r="U1" s="1" t="s">
        <v>39</v>
      </c>
      <c r="V1" s="1" t="s">
        <v>40</v>
      </c>
      <c r="W1" s="1" t="s">
        <v>41</v>
      </c>
      <c r="X1" s="1" t="s">
        <v>42</v>
      </c>
      <c r="Y1" s="1" t="s">
        <v>43</v>
      </c>
      <c r="Z1" s="1" t="s">
        <v>44</v>
      </c>
      <c r="AA1" s="1" t="s">
        <v>45</v>
      </c>
      <c r="AB1" s="1" t="s">
        <v>46</v>
      </c>
      <c r="AC1" s="1" t="s">
        <v>47</v>
      </c>
      <c r="AD1" s="1" t="s">
        <v>48</v>
      </c>
      <c r="AE1" s="1" t="s">
        <v>49</v>
      </c>
      <c r="AF1" s="1" t="s">
        <v>50</v>
      </c>
      <c r="AG1" s="1" t="s">
        <v>51</v>
      </c>
      <c r="AH1" s="1" t="s">
        <v>52</v>
      </c>
    </row>
    <row r="2" spans="1:34" ht="43.2" x14ac:dyDescent="0.3">
      <c r="A2" s="3">
        <v>1</v>
      </c>
      <c r="B2" s="3" t="s">
        <v>53</v>
      </c>
      <c r="C2" s="3" t="s">
        <v>54</v>
      </c>
      <c r="D2" s="3" t="s">
        <v>55</v>
      </c>
      <c r="E2" s="3" t="s">
        <v>56</v>
      </c>
      <c r="F2" s="3" t="s">
        <v>57</v>
      </c>
      <c r="G2" s="3" t="s">
        <v>58</v>
      </c>
      <c r="H2" s="3" t="s">
        <v>59</v>
      </c>
      <c r="I2" s="3" t="s">
        <v>59</v>
      </c>
      <c r="J2" s="3" t="s">
        <v>60</v>
      </c>
      <c r="K2" s="3"/>
      <c r="L2" s="3"/>
      <c r="M2" s="3" t="s">
        <v>61</v>
      </c>
      <c r="N2" s="3" t="s">
        <v>62</v>
      </c>
      <c r="O2" s="4" t="s">
        <v>63</v>
      </c>
      <c r="P2" s="4" t="s">
        <v>64</v>
      </c>
      <c r="Q2" s="3" t="s">
        <v>65</v>
      </c>
      <c r="R2" s="3" t="s">
        <v>66</v>
      </c>
      <c r="S2" s="3" t="s">
        <v>67</v>
      </c>
      <c r="T2" s="3" t="s">
        <v>68</v>
      </c>
      <c r="U2" s="3" t="s">
        <v>69</v>
      </c>
      <c r="V2" s="5" t="s">
        <v>1072</v>
      </c>
      <c r="W2" s="5"/>
      <c r="X2" s="5"/>
      <c r="Y2" s="5" t="s">
        <v>70</v>
      </c>
      <c r="Z2" s="5" t="s">
        <v>70</v>
      </c>
      <c r="AA2" s="5"/>
      <c r="AB2" s="5"/>
      <c r="AC2" s="5"/>
      <c r="AD2" s="5"/>
      <c r="AE2" s="5"/>
      <c r="AF2" s="5"/>
      <c r="AG2" s="5"/>
      <c r="AH2" s="5"/>
    </row>
    <row r="3" spans="1:34" ht="43.2" x14ac:dyDescent="0.3">
      <c r="A3" s="3">
        <v>2</v>
      </c>
      <c r="B3" s="3" t="s">
        <v>53</v>
      </c>
      <c r="C3" s="3" t="s">
        <v>71</v>
      </c>
      <c r="D3" s="3" t="s">
        <v>72</v>
      </c>
      <c r="E3" s="3" t="s">
        <v>73</v>
      </c>
      <c r="F3" s="3" t="s">
        <v>74</v>
      </c>
      <c r="G3" s="3" t="s">
        <v>75</v>
      </c>
      <c r="H3" s="3" t="s">
        <v>59</v>
      </c>
      <c r="I3" s="3" t="s">
        <v>59</v>
      </c>
      <c r="J3" s="3" t="s">
        <v>76</v>
      </c>
      <c r="K3" s="3"/>
      <c r="L3" s="3"/>
      <c r="M3" s="3" t="s">
        <v>77</v>
      </c>
      <c r="N3" s="3" t="s">
        <v>78</v>
      </c>
      <c r="O3" s="4" t="s">
        <v>63</v>
      </c>
      <c r="P3" s="4" t="s">
        <v>64</v>
      </c>
      <c r="Q3" s="3" t="s">
        <v>79</v>
      </c>
      <c r="R3" s="3" t="s">
        <v>80</v>
      </c>
      <c r="S3" s="3" t="s">
        <v>67</v>
      </c>
      <c r="T3" s="3" t="s">
        <v>68</v>
      </c>
      <c r="U3" s="3" t="s">
        <v>69</v>
      </c>
      <c r="V3" s="5" t="s">
        <v>1072</v>
      </c>
      <c r="W3" s="5"/>
      <c r="X3" s="5"/>
      <c r="Y3" s="5" t="s">
        <v>70</v>
      </c>
      <c r="Z3" s="5" t="s">
        <v>70</v>
      </c>
      <c r="AA3" s="5"/>
      <c r="AB3" s="5"/>
      <c r="AC3" s="5"/>
      <c r="AD3" s="5"/>
      <c r="AE3" s="5"/>
      <c r="AF3" s="5"/>
      <c r="AG3" s="5"/>
      <c r="AH3" s="5"/>
    </row>
    <row r="4" spans="1:34" ht="43.2" x14ac:dyDescent="0.3">
      <c r="A4" s="3">
        <v>3</v>
      </c>
      <c r="B4" s="3" t="s">
        <v>53</v>
      </c>
      <c r="C4" s="3" t="s">
        <v>81</v>
      </c>
      <c r="D4" s="3" t="s">
        <v>82</v>
      </c>
      <c r="E4" s="3" t="s">
        <v>83</v>
      </c>
      <c r="F4" s="3" t="s">
        <v>74</v>
      </c>
      <c r="G4" s="3" t="s">
        <v>75</v>
      </c>
      <c r="H4" s="3" t="s">
        <v>59</v>
      </c>
      <c r="I4" s="3" t="s">
        <v>59</v>
      </c>
      <c r="J4" s="3" t="s">
        <v>84</v>
      </c>
      <c r="K4" s="3"/>
      <c r="L4" s="3"/>
      <c r="M4" s="3" t="s">
        <v>85</v>
      </c>
      <c r="N4" s="3" t="s">
        <v>86</v>
      </c>
      <c r="O4" s="4" t="s">
        <v>63</v>
      </c>
      <c r="P4" s="4" t="s">
        <v>64</v>
      </c>
      <c r="Q4" s="3" t="s">
        <v>79</v>
      </c>
      <c r="R4" s="3" t="s">
        <v>87</v>
      </c>
      <c r="S4" s="3" t="s">
        <v>67</v>
      </c>
      <c r="T4" s="3" t="s">
        <v>68</v>
      </c>
      <c r="U4" s="3" t="s">
        <v>69</v>
      </c>
      <c r="V4" s="5" t="s">
        <v>1072</v>
      </c>
      <c r="W4" s="5"/>
      <c r="X4" s="5"/>
      <c r="Y4" s="5" t="s">
        <v>70</v>
      </c>
      <c r="Z4" s="5" t="s">
        <v>70</v>
      </c>
      <c r="AA4" s="5"/>
      <c r="AB4" s="5"/>
      <c r="AC4" s="5"/>
      <c r="AD4" s="5"/>
      <c r="AE4" s="5"/>
      <c r="AF4" s="5"/>
      <c r="AG4" s="5"/>
      <c r="AH4" s="5"/>
    </row>
    <row r="5" spans="1:34" ht="43.2" x14ac:dyDescent="0.3">
      <c r="A5" s="3">
        <v>4</v>
      </c>
      <c r="B5" s="3" t="s">
        <v>53</v>
      </c>
      <c r="C5" s="3" t="s">
        <v>88</v>
      </c>
      <c r="D5" s="3" t="s">
        <v>89</v>
      </c>
      <c r="E5" s="3" t="s">
        <v>90</v>
      </c>
      <c r="F5" s="3" t="s">
        <v>91</v>
      </c>
      <c r="G5" s="3" t="s">
        <v>75</v>
      </c>
      <c r="H5" s="3" t="s">
        <v>59</v>
      </c>
      <c r="I5" s="3" t="s">
        <v>59</v>
      </c>
      <c r="J5" s="3" t="s">
        <v>92</v>
      </c>
      <c r="K5" s="3"/>
      <c r="L5" s="3"/>
      <c r="M5" s="3" t="s">
        <v>93</v>
      </c>
      <c r="N5" s="3" t="s">
        <v>94</v>
      </c>
      <c r="O5" s="4" t="s">
        <v>63</v>
      </c>
      <c r="P5" s="4" t="s">
        <v>64</v>
      </c>
      <c r="Q5" s="3" t="s">
        <v>95</v>
      </c>
      <c r="R5" s="3" t="s">
        <v>87</v>
      </c>
      <c r="S5" s="3" t="s">
        <v>67</v>
      </c>
      <c r="T5" s="3" t="s">
        <v>68</v>
      </c>
      <c r="U5" s="3" t="s">
        <v>69</v>
      </c>
      <c r="V5" s="5" t="s">
        <v>1072</v>
      </c>
      <c r="W5" s="5"/>
      <c r="X5" s="5"/>
      <c r="Y5" s="5" t="s">
        <v>70</v>
      </c>
      <c r="Z5" s="5" t="s">
        <v>70</v>
      </c>
      <c r="AA5" s="5"/>
      <c r="AB5" s="5"/>
      <c r="AC5" s="5"/>
      <c r="AD5" s="5"/>
      <c r="AE5" s="5"/>
      <c r="AF5" s="5"/>
      <c r="AG5" s="5"/>
      <c r="AH5" s="5"/>
    </row>
    <row r="6" spans="1:34" ht="43.2" x14ac:dyDescent="0.3">
      <c r="A6" s="3">
        <v>5</v>
      </c>
      <c r="B6" s="3" t="s">
        <v>53</v>
      </c>
      <c r="C6" s="3" t="s">
        <v>96</v>
      </c>
      <c r="D6" s="3" t="s">
        <v>97</v>
      </c>
      <c r="E6" s="3" t="s">
        <v>98</v>
      </c>
      <c r="F6" s="3" t="s">
        <v>74</v>
      </c>
      <c r="G6" s="3" t="s">
        <v>75</v>
      </c>
      <c r="H6" s="3" t="s">
        <v>59</v>
      </c>
      <c r="I6" s="3" t="s">
        <v>59</v>
      </c>
      <c r="J6" s="3" t="s">
        <v>99</v>
      </c>
      <c r="K6" s="3"/>
      <c r="L6" s="3"/>
      <c r="M6" s="3" t="s">
        <v>100</v>
      </c>
      <c r="N6" s="3" t="s">
        <v>101</v>
      </c>
      <c r="O6" s="4" t="s">
        <v>63</v>
      </c>
      <c r="P6" s="4" t="s">
        <v>64</v>
      </c>
      <c r="Q6" s="3" t="s">
        <v>79</v>
      </c>
      <c r="R6" s="3" t="s">
        <v>80</v>
      </c>
      <c r="S6" s="3" t="s">
        <v>67</v>
      </c>
      <c r="T6" s="3" t="s">
        <v>68</v>
      </c>
      <c r="U6" s="3" t="s">
        <v>69</v>
      </c>
      <c r="V6" s="5" t="s">
        <v>1072</v>
      </c>
      <c r="W6" s="5"/>
      <c r="X6" s="5"/>
      <c r="Y6" s="5" t="s">
        <v>70</v>
      </c>
      <c r="Z6" s="5" t="s">
        <v>70</v>
      </c>
      <c r="AA6" s="5"/>
      <c r="AB6" s="5"/>
      <c r="AC6" s="5"/>
      <c r="AD6" s="5"/>
      <c r="AE6" s="5"/>
      <c r="AF6" s="5"/>
      <c r="AG6" s="5"/>
      <c r="AH6" s="5"/>
    </row>
    <row r="7" spans="1:34" ht="43.2" x14ac:dyDescent="0.3">
      <c r="A7" s="3">
        <v>6</v>
      </c>
      <c r="B7" s="3" t="s">
        <v>53</v>
      </c>
      <c r="C7" s="3" t="s">
        <v>102</v>
      </c>
      <c r="D7" s="3" t="s">
        <v>103</v>
      </c>
      <c r="E7" s="3" t="s">
        <v>104</v>
      </c>
      <c r="F7" s="3" t="s">
        <v>74</v>
      </c>
      <c r="G7" s="3" t="s">
        <v>75</v>
      </c>
      <c r="H7" s="3" t="s">
        <v>59</v>
      </c>
      <c r="I7" s="3" t="s">
        <v>59</v>
      </c>
      <c r="J7" s="3" t="s">
        <v>105</v>
      </c>
      <c r="K7" s="3"/>
      <c r="L7" s="3"/>
      <c r="M7" s="3" t="s">
        <v>106</v>
      </c>
      <c r="N7" s="3" t="s">
        <v>107</v>
      </c>
      <c r="O7" s="4" t="s">
        <v>63</v>
      </c>
      <c r="P7" s="4" t="s">
        <v>64</v>
      </c>
      <c r="Q7" s="3" t="s">
        <v>79</v>
      </c>
      <c r="R7" s="3" t="s">
        <v>87</v>
      </c>
      <c r="S7" s="3" t="s">
        <v>67</v>
      </c>
      <c r="T7" s="3" t="s">
        <v>68</v>
      </c>
      <c r="U7" s="3" t="s">
        <v>69</v>
      </c>
      <c r="V7" s="5" t="s">
        <v>1072</v>
      </c>
      <c r="W7" s="5"/>
      <c r="X7" s="5"/>
      <c r="Y7" s="5" t="s">
        <v>70</v>
      </c>
      <c r="Z7" s="5" t="s">
        <v>70</v>
      </c>
      <c r="AA7" s="5"/>
      <c r="AB7" s="5"/>
      <c r="AC7" s="5"/>
      <c r="AD7" s="5"/>
      <c r="AE7" s="5"/>
      <c r="AF7" s="5"/>
      <c r="AG7" s="5"/>
      <c r="AH7" s="5"/>
    </row>
    <row r="8" spans="1:34" ht="43.2" x14ac:dyDescent="0.3">
      <c r="A8" s="3">
        <v>7</v>
      </c>
      <c r="B8" s="3" t="s">
        <v>53</v>
      </c>
      <c r="C8" s="3" t="s">
        <v>108</v>
      </c>
      <c r="D8" s="3" t="s">
        <v>109</v>
      </c>
      <c r="E8" s="3" t="s">
        <v>104</v>
      </c>
      <c r="F8" s="3" t="s">
        <v>74</v>
      </c>
      <c r="G8" s="3" t="s">
        <v>75</v>
      </c>
      <c r="H8" s="3" t="s">
        <v>59</v>
      </c>
      <c r="I8" s="3" t="s">
        <v>59</v>
      </c>
      <c r="J8" s="3" t="s">
        <v>105</v>
      </c>
      <c r="K8" s="3"/>
      <c r="L8" s="3"/>
      <c r="M8" s="3" t="s">
        <v>110</v>
      </c>
      <c r="N8" s="3" t="s">
        <v>111</v>
      </c>
      <c r="O8" s="4" t="s">
        <v>63</v>
      </c>
      <c r="P8" s="4" t="s">
        <v>64</v>
      </c>
      <c r="Q8" s="3" t="s">
        <v>79</v>
      </c>
      <c r="R8" s="3" t="s">
        <v>87</v>
      </c>
      <c r="S8" s="3" t="s">
        <v>67</v>
      </c>
      <c r="T8" s="3" t="s">
        <v>68</v>
      </c>
      <c r="U8" s="3" t="s">
        <v>69</v>
      </c>
      <c r="V8" s="5" t="s">
        <v>1072</v>
      </c>
      <c r="W8" s="5"/>
      <c r="X8" s="5"/>
      <c r="Y8" s="5" t="s">
        <v>70</v>
      </c>
      <c r="Z8" s="5" t="s">
        <v>70</v>
      </c>
      <c r="AA8" s="5"/>
      <c r="AB8" s="5"/>
      <c r="AC8" s="5"/>
      <c r="AD8" s="5"/>
      <c r="AE8" s="5"/>
      <c r="AF8" s="5"/>
      <c r="AG8" s="5"/>
      <c r="AH8" s="5"/>
    </row>
    <row r="9" spans="1:34" ht="43.2" x14ac:dyDescent="0.3">
      <c r="A9" s="3">
        <v>8</v>
      </c>
      <c r="B9" s="3" t="s">
        <v>53</v>
      </c>
      <c r="C9" s="3" t="s">
        <v>112</v>
      </c>
      <c r="D9" s="3" t="s">
        <v>113</v>
      </c>
      <c r="E9" s="3" t="s">
        <v>104</v>
      </c>
      <c r="F9" s="3" t="s">
        <v>74</v>
      </c>
      <c r="G9" s="3" t="s">
        <v>75</v>
      </c>
      <c r="H9" s="3" t="s">
        <v>59</v>
      </c>
      <c r="I9" s="3" t="s">
        <v>59</v>
      </c>
      <c r="J9" s="3" t="s">
        <v>105</v>
      </c>
      <c r="K9" s="3"/>
      <c r="L9" s="3"/>
      <c r="M9" s="3" t="s">
        <v>114</v>
      </c>
      <c r="N9" s="3" t="s">
        <v>115</v>
      </c>
      <c r="O9" s="4" t="s">
        <v>63</v>
      </c>
      <c r="P9" s="4" t="s">
        <v>64</v>
      </c>
      <c r="Q9" s="3" t="s">
        <v>79</v>
      </c>
      <c r="R9" s="3" t="s">
        <v>87</v>
      </c>
      <c r="S9" s="3" t="s">
        <v>67</v>
      </c>
      <c r="T9" s="3" t="s">
        <v>68</v>
      </c>
      <c r="U9" s="3" t="s">
        <v>69</v>
      </c>
      <c r="V9" s="5" t="s">
        <v>1072</v>
      </c>
      <c r="W9" s="5"/>
      <c r="X9" s="5"/>
      <c r="Y9" s="5" t="s">
        <v>70</v>
      </c>
      <c r="Z9" s="5" t="s">
        <v>70</v>
      </c>
      <c r="AA9" s="5"/>
      <c r="AB9" s="5"/>
      <c r="AC9" s="5"/>
      <c r="AD9" s="5"/>
      <c r="AE9" s="5"/>
      <c r="AF9" s="5"/>
      <c r="AG9" s="5"/>
      <c r="AH9" s="5"/>
    </row>
    <row r="10" spans="1:34" ht="43.2" x14ac:dyDescent="0.3">
      <c r="A10" s="3">
        <v>9</v>
      </c>
      <c r="B10" s="3" t="s">
        <v>53</v>
      </c>
      <c r="C10" s="3" t="s">
        <v>116</v>
      </c>
      <c r="D10" s="3" t="s">
        <v>117</v>
      </c>
      <c r="E10" s="3" t="s">
        <v>104</v>
      </c>
      <c r="F10" s="3" t="s">
        <v>74</v>
      </c>
      <c r="G10" s="3" t="s">
        <v>75</v>
      </c>
      <c r="H10" s="3" t="s">
        <v>59</v>
      </c>
      <c r="I10" s="3" t="s">
        <v>59</v>
      </c>
      <c r="J10" s="3" t="s">
        <v>105</v>
      </c>
      <c r="K10" s="3"/>
      <c r="L10" s="3"/>
      <c r="M10" s="3" t="s">
        <v>118</v>
      </c>
      <c r="N10" s="3" t="s">
        <v>119</v>
      </c>
      <c r="O10" s="4" t="s">
        <v>63</v>
      </c>
      <c r="P10" s="4" t="s">
        <v>64</v>
      </c>
      <c r="Q10" s="3" t="s">
        <v>79</v>
      </c>
      <c r="R10" s="3" t="s">
        <v>87</v>
      </c>
      <c r="S10" s="3" t="s">
        <v>67</v>
      </c>
      <c r="T10" s="3" t="s">
        <v>68</v>
      </c>
      <c r="U10" s="3" t="s">
        <v>69</v>
      </c>
      <c r="V10" s="5" t="s">
        <v>1072</v>
      </c>
      <c r="W10" s="5"/>
      <c r="X10" s="5"/>
      <c r="Y10" s="5" t="s">
        <v>70</v>
      </c>
      <c r="Z10" s="5" t="s">
        <v>70</v>
      </c>
      <c r="AA10" s="5"/>
      <c r="AB10" s="5"/>
      <c r="AC10" s="5"/>
      <c r="AD10" s="5"/>
      <c r="AE10" s="5"/>
      <c r="AF10" s="5"/>
      <c r="AG10" s="5"/>
      <c r="AH10" s="5"/>
    </row>
    <row r="11" spans="1:34" ht="43.2" x14ac:dyDescent="0.3">
      <c r="A11" s="3">
        <v>10</v>
      </c>
      <c r="B11" s="3" t="s">
        <v>53</v>
      </c>
      <c r="C11" s="3" t="s">
        <v>120</v>
      </c>
      <c r="D11" s="3" t="s">
        <v>121</v>
      </c>
      <c r="E11" s="3" t="s">
        <v>104</v>
      </c>
      <c r="F11" s="3" t="s">
        <v>74</v>
      </c>
      <c r="G11" s="3" t="s">
        <v>75</v>
      </c>
      <c r="H11" s="3" t="s">
        <v>59</v>
      </c>
      <c r="I11" s="3" t="s">
        <v>59</v>
      </c>
      <c r="J11" s="3" t="s">
        <v>105</v>
      </c>
      <c r="K11" s="3"/>
      <c r="L11" s="3"/>
      <c r="M11" s="3" t="s">
        <v>122</v>
      </c>
      <c r="N11" s="3" t="s">
        <v>123</v>
      </c>
      <c r="O11" s="4" t="s">
        <v>63</v>
      </c>
      <c r="P11" s="4" t="s">
        <v>64</v>
      </c>
      <c r="Q11" s="3" t="s">
        <v>79</v>
      </c>
      <c r="R11" s="3" t="s">
        <v>87</v>
      </c>
      <c r="S11" s="3" t="s">
        <v>67</v>
      </c>
      <c r="T11" s="3" t="s">
        <v>68</v>
      </c>
      <c r="U11" s="3" t="s">
        <v>69</v>
      </c>
      <c r="V11" s="5" t="s">
        <v>1072</v>
      </c>
      <c r="W11" s="5"/>
      <c r="X11" s="5"/>
      <c r="Y11" s="5" t="s">
        <v>70</v>
      </c>
      <c r="Z11" s="5" t="s">
        <v>70</v>
      </c>
      <c r="AA11" s="5"/>
      <c r="AB11" s="5"/>
      <c r="AC11" s="5"/>
      <c r="AD11" s="5"/>
      <c r="AE11" s="5"/>
      <c r="AF11" s="5"/>
      <c r="AG11" s="5"/>
      <c r="AH11" s="5"/>
    </row>
    <row r="12" spans="1:34" ht="43.2" x14ac:dyDescent="0.3">
      <c r="A12" s="3">
        <v>11</v>
      </c>
      <c r="B12" s="3" t="s">
        <v>53</v>
      </c>
      <c r="C12" s="3" t="s">
        <v>124</v>
      </c>
      <c r="D12" s="3" t="s">
        <v>125</v>
      </c>
      <c r="E12" s="3" t="s">
        <v>126</v>
      </c>
      <c r="F12" s="3" t="s">
        <v>74</v>
      </c>
      <c r="G12" s="3" t="s">
        <v>75</v>
      </c>
      <c r="H12" s="3" t="s">
        <v>59</v>
      </c>
      <c r="I12" s="3" t="s">
        <v>59</v>
      </c>
      <c r="J12" s="3" t="s">
        <v>127</v>
      </c>
      <c r="K12" s="3"/>
      <c r="L12" s="3"/>
      <c r="M12" s="3" t="s">
        <v>128</v>
      </c>
      <c r="N12" s="3" t="s">
        <v>129</v>
      </c>
      <c r="O12" s="4" t="s">
        <v>63</v>
      </c>
      <c r="P12" s="4" t="s">
        <v>64</v>
      </c>
      <c r="Q12" s="3" t="s">
        <v>79</v>
      </c>
      <c r="R12" s="3" t="s">
        <v>130</v>
      </c>
      <c r="S12" s="3" t="s">
        <v>67</v>
      </c>
      <c r="T12" s="3" t="s">
        <v>68</v>
      </c>
      <c r="U12" s="3" t="s">
        <v>69</v>
      </c>
      <c r="V12" s="5" t="s">
        <v>1072</v>
      </c>
      <c r="W12" s="5"/>
      <c r="X12" s="5"/>
      <c r="Y12" s="5" t="s">
        <v>70</v>
      </c>
      <c r="Z12" s="5" t="s">
        <v>70</v>
      </c>
      <c r="AA12" s="5"/>
      <c r="AB12" s="5"/>
      <c r="AC12" s="5"/>
      <c r="AD12" s="5"/>
      <c r="AE12" s="5"/>
      <c r="AF12" s="5"/>
      <c r="AG12" s="5"/>
      <c r="AH12" s="5"/>
    </row>
    <row r="13" spans="1:34" ht="43.2" x14ac:dyDescent="0.3">
      <c r="A13" s="3">
        <v>12</v>
      </c>
      <c r="B13" s="3" t="s">
        <v>53</v>
      </c>
      <c r="C13" s="3" t="s">
        <v>131</v>
      </c>
      <c r="D13" s="3" t="s">
        <v>132</v>
      </c>
      <c r="E13" s="3" t="s">
        <v>126</v>
      </c>
      <c r="F13" s="3" t="s">
        <v>74</v>
      </c>
      <c r="G13" s="3" t="s">
        <v>75</v>
      </c>
      <c r="H13" s="3" t="s">
        <v>59</v>
      </c>
      <c r="I13" s="3" t="s">
        <v>59</v>
      </c>
      <c r="J13" s="3" t="s">
        <v>127</v>
      </c>
      <c r="K13" s="3"/>
      <c r="L13" s="3"/>
      <c r="M13" s="3" t="s">
        <v>133</v>
      </c>
      <c r="N13" s="3" t="s">
        <v>134</v>
      </c>
      <c r="O13" s="4" t="s">
        <v>63</v>
      </c>
      <c r="P13" s="4" t="s">
        <v>64</v>
      </c>
      <c r="Q13" s="3" t="s">
        <v>79</v>
      </c>
      <c r="R13" s="3" t="s">
        <v>130</v>
      </c>
      <c r="S13" s="3" t="s">
        <v>67</v>
      </c>
      <c r="T13" s="3" t="s">
        <v>68</v>
      </c>
      <c r="U13" s="3" t="s">
        <v>69</v>
      </c>
      <c r="V13" s="5" t="s">
        <v>1072</v>
      </c>
      <c r="W13" s="5"/>
      <c r="X13" s="5"/>
      <c r="Y13" s="5" t="s">
        <v>70</v>
      </c>
      <c r="Z13" s="5" t="s">
        <v>70</v>
      </c>
      <c r="AA13" s="5"/>
      <c r="AB13" s="5"/>
      <c r="AC13" s="5"/>
      <c r="AD13" s="5"/>
      <c r="AE13" s="5"/>
      <c r="AF13" s="5"/>
      <c r="AG13" s="5"/>
      <c r="AH13" s="5"/>
    </row>
    <row r="14" spans="1:34" ht="43.2" x14ac:dyDescent="0.3">
      <c r="A14" s="3">
        <v>13</v>
      </c>
      <c r="B14" s="3" t="s">
        <v>53</v>
      </c>
      <c r="C14" s="3" t="s">
        <v>135</v>
      </c>
      <c r="D14" s="3" t="s">
        <v>136</v>
      </c>
      <c r="E14" s="3" t="s">
        <v>126</v>
      </c>
      <c r="F14" s="3" t="s">
        <v>74</v>
      </c>
      <c r="G14" s="3" t="s">
        <v>75</v>
      </c>
      <c r="H14" s="3" t="s">
        <v>59</v>
      </c>
      <c r="I14" s="3" t="s">
        <v>59</v>
      </c>
      <c r="J14" s="3" t="s">
        <v>127</v>
      </c>
      <c r="K14" s="3"/>
      <c r="L14" s="3"/>
      <c r="M14" s="3" t="s">
        <v>137</v>
      </c>
      <c r="N14" s="3" t="s">
        <v>138</v>
      </c>
      <c r="O14" s="4" t="s">
        <v>63</v>
      </c>
      <c r="P14" s="4" t="s">
        <v>64</v>
      </c>
      <c r="Q14" s="3" t="s">
        <v>79</v>
      </c>
      <c r="R14" s="3" t="s">
        <v>130</v>
      </c>
      <c r="S14" s="3" t="s">
        <v>67</v>
      </c>
      <c r="T14" s="3" t="s">
        <v>68</v>
      </c>
      <c r="U14" s="3" t="s">
        <v>69</v>
      </c>
      <c r="V14" s="5" t="s">
        <v>1072</v>
      </c>
      <c r="W14" s="5"/>
      <c r="X14" s="5"/>
      <c r="Y14" s="5" t="s">
        <v>70</v>
      </c>
      <c r="Z14" s="5" t="s">
        <v>70</v>
      </c>
      <c r="AA14" s="5"/>
      <c r="AB14" s="5"/>
      <c r="AC14" s="5"/>
      <c r="AD14" s="5"/>
      <c r="AE14" s="5"/>
      <c r="AF14" s="5"/>
      <c r="AG14" s="5"/>
      <c r="AH14" s="5"/>
    </row>
    <row r="15" spans="1:34" ht="43.2" x14ac:dyDescent="0.3">
      <c r="A15" s="3">
        <v>14</v>
      </c>
      <c r="B15" s="3" t="s">
        <v>53</v>
      </c>
      <c r="C15" s="3" t="s">
        <v>139</v>
      </c>
      <c r="D15" s="3" t="s">
        <v>140</v>
      </c>
      <c r="E15" s="3" t="s">
        <v>126</v>
      </c>
      <c r="F15" s="3" t="s">
        <v>74</v>
      </c>
      <c r="G15" s="3" t="s">
        <v>75</v>
      </c>
      <c r="H15" s="3" t="s">
        <v>59</v>
      </c>
      <c r="I15" s="3" t="s">
        <v>59</v>
      </c>
      <c r="J15" s="3" t="s">
        <v>127</v>
      </c>
      <c r="K15" s="3"/>
      <c r="L15" s="3"/>
      <c r="M15" s="3" t="s">
        <v>141</v>
      </c>
      <c r="N15" s="3" t="s">
        <v>142</v>
      </c>
      <c r="O15" s="4" t="s">
        <v>63</v>
      </c>
      <c r="P15" s="4" t="s">
        <v>64</v>
      </c>
      <c r="Q15" s="3" t="s">
        <v>79</v>
      </c>
      <c r="R15" s="3" t="s">
        <v>130</v>
      </c>
      <c r="S15" s="3" t="s">
        <v>67</v>
      </c>
      <c r="T15" s="3" t="s">
        <v>68</v>
      </c>
      <c r="U15" s="3" t="s">
        <v>69</v>
      </c>
      <c r="V15" s="5" t="s">
        <v>1072</v>
      </c>
      <c r="W15" s="5"/>
      <c r="X15" s="5"/>
      <c r="Y15" s="5" t="s">
        <v>70</v>
      </c>
      <c r="Z15" s="5" t="s">
        <v>70</v>
      </c>
      <c r="AA15" s="5"/>
      <c r="AB15" s="5"/>
      <c r="AC15" s="5"/>
      <c r="AD15" s="5"/>
      <c r="AE15" s="5"/>
      <c r="AF15" s="5"/>
      <c r="AG15" s="5"/>
      <c r="AH15" s="5"/>
    </row>
    <row r="16" spans="1:34" ht="43.2" x14ac:dyDescent="0.3">
      <c r="A16" s="3">
        <v>15</v>
      </c>
      <c r="B16" s="3" t="s">
        <v>53</v>
      </c>
      <c r="C16" s="3" t="s">
        <v>143</v>
      </c>
      <c r="D16" s="3" t="s">
        <v>144</v>
      </c>
      <c r="E16" s="3" t="s">
        <v>145</v>
      </c>
      <c r="F16" s="3" t="s">
        <v>74</v>
      </c>
      <c r="G16" s="3" t="s">
        <v>75</v>
      </c>
      <c r="H16" s="3" t="s">
        <v>59</v>
      </c>
      <c r="I16" s="3" t="s">
        <v>59</v>
      </c>
      <c r="J16" s="3" t="s">
        <v>146</v>
      </c>
      <c r="K16" s="3"/>
      <c r="L16" s="3"/>
      <c r="M16" s="3" t="s">
        <v>147</v>
      </c>
      <c r="N16" s="3" t="s">
        <v>148</v>
      </c>
      <c r="O16" s="4" t="s">
        <v>63</v>
      </c>
      <c r="P16" s="4" t="s">
        <v>64</v>
      </c>
      <c r="Q16" s="3" t="s">
        <v>79</v>
      </c>
      <c r="R16" s="3" t="s">
        <v>130</v>
      </c>
      <c r="S16" s="3" t="s">
        <v>67</v>
      </c>
      <c r="T16" s="3" t="s">
        <v>68</v>
      </c>
      <c r="U16" s="3" t="s">
        <v>69</v>
      </c>
      <c r="V16" s="5" t="s">
        <v>1073</v>
      </c>
      <c r="W16" s="5"/>
      <c r="X16" s="5"/>
      <c r="Y16" s="5" t="s">
        <v>70</v>
      </c>
      <c r="Z16" s="5" t="s">
        <v>70</v>
      </c>
      <c r="AA16" s="5"/>
      <c r="AB16" s="5"/>
      <c r="AC16" s="5"/>
      <c r="AD16" s="5"/>
      <c r="AE16" s="5"/>
      <c r="AF16" s="5"/>
      <c r="AG16" s="5"/>
      <c r="AH16" s="5"/>
    </row>
    <row r="17" spans="1:34" ht="43.2" x14ac:dyDescent="0.3">
      <c r="A17" s="3">
        <v>16</v>
      </c>
      <c r="B17" s="3" t="s">
        <v>53</v>
      </c>
      <c r="C17" s="3" t="s">
        <v>149</v>
      </c>
      <c r="D17" s="3" t="s">
        <v>150</v>
      </c>
      <c r="E17" s="3" t="s">
        <v>145</v>
      </c>
      <c r="F17" s="3" t="s">
        <v>74</v>
      </c>
      <c r="G17" s="3" t="s">
        <v>75</v>
      </c>
      <c r="H17" s="3" t="s">
        <v>59</v>
      </c>
      <c r="I17" s="3" t="s">
        <v>59</v>
      </c>
      <c r="J17" s="3" t="s">
        <v>146</v>
      </c>
      <c r="K17" s="3"/>
      <c r="L17" s="3"/>
      <c r="M17" s="3" t="s">
        <v>151</v>
      </c>
      <c r="N17" s="3" t="s">
        <v>152</v>
      </c>
      <c r="O17" s="4" t="s">
        <v>63</v>
      </c>
      <c r="P17" s="4" t="s">
        <v>64</v>
      </c>
      <c r="Q17" s="3" t="s">
        <v>79</v>
      </c>
      <c r="R17" s="3" t="s">
        <v>130</v>
      </c>
      <c r="S17" s="3" t="s">
        <v>67</v>
      </c>
      <c r="T17" s="3" t="s">
        <v>68</v>
      </c>
      <c r="U17" s="3" t="s">
        <v>69</v>
      </c>
      <c r="V17" s="5" t="s">
        <v>1073</v>
      </c>
      <c r="W17" s="5"/>
      <c r="X17" s="5"/>
      <c r="Y17" s="5" t="s">
        <v>70</v>
      </c>
      <c r="Z17" s="5" t="s">
        <v>70</v>
      </c>
      <c r="AA17" s="5"/>
      <c r="AB17" s="5"/>
      <c r="AC17" s="5"/>
      <c r="AD17" s="5"/>
      <c r="AE17" s="5"/>
      <c r="AF17" s="5"/>
      <c r="AG17" s="5"/>
      <c r="AH17" s="5"/>
    </row>
    <row r="18" spans="1:34" ht="43.2" x14ac:dyDescent="0.3">
      <c r="A18" s="3">
        <v>17</v>
      </c>
      <c r="B18" s="3" t="s">
        <v>53</v>
      </c>
      <c r="C18" s="3" t="s">
        <v>153</v>
      </c>
      <c r="D18" s="3" t="s">
        <v>154</v>
      </c>
      <c r="E18" s="3" t="s">
        <v>145</v>
      </c>
      <c r="F18" s="3" t="s">
        <v>74</v>
      </c>
      <c r="G18" s="3" t="s">
        <v>75</v>
      </c>
      <c r="H18" s="3" t="s">
        <v>59</v>
      </c>
      <c r="I18" s="3" t="s">
        <v>59</v>
      </c>
      <c r="J18" s="3" t="s">
        <v>146</v>
      </c>
      <c r="K18" s="3"/>
      <c r="L18" s="3"/>
      <c r="M18" s="3" t="s">
        <v>155</v>
      </c>
      <c r="N18" s="3" t="s">
        <v>156</v>
      </c>
      <c r="O18" s="4" t="s">
        <v>63</v>
      </c>
      <c r="P18" s="4" t="s">
        <v>64</v>
      </c>
      <c r="Q18" s="3" t="s">
        <v>79</v>
      </c>
      <c r="R18" s="3" t="s">
        <v>130</v>
      </c>
      <c r="S18" s="3" t="s">
        <v>67</v>
      </c>
      <c r="T18" s="3" t="s">
        <v>68</v>
      </c>
      <c r="U18" s="3" t="s">
        <v>69</v>
      </c>
      <c r="V18" s="5" t="s">
        <v>1073</v>
      </c>
      <c r="W18" s="5"/>
      <c r="X18" s="5"/>
      <c r="Y18" s="5" t="s">
        <v>70</v>
      </c>
      <c r="Z18" s="5" t="s">
        <v>70</v>
      </c>
      <c r="AA18" s="5"/>
      <c r="AB18" s="5"/>
      <c r="AC18" s="5"/>
      <c r="AD18" s="5"/>
      <c r="AE18" s="5"/>
      <c r="AF18" s="5"/>
      <c r="AG18" s="5"/>
      <c r="AH18" s="5"/>
    </row>
    <row r="19" spans="1:34" ht="43.2" x14ac:dyDescent="0.3">
      <c r="A19" s="3">
        <v>18</v>
      </c>
      <c r="B19" s="3" t="s">
        <v>53</v>
      </c>
      <c r="C19" s="3" t="s">
        <v>157</v>
      </c>
      <c r="D19" s="3" t="s">
        <v>158</v>
      </c>
      <c r="E19" s="3" t="s">
        <v>145</v>
      </c>
      <c r="F19" s="3" t="s">
        <v>74</v>
      </c>
      <c r="G19" s="3" t="s">
        <v>75</v>
      </c>
      <c r="H19" s="3" t="s">
        <v>59</v>
      </c>
      <c r="I19" s="3" t="s">
        <v>59</v>
      </c>
      <c r="J19" s="3" t="s">
        <v>146</v>
      </c>
      <c r="K19" s="3"/>
      <c r="L19" s="3"/>
      <c r="M19" s="3" t="s">
        <v>159</v>
      </c>
      <c r="N19" s="3" t="s">
        <v>160</v>
      </c>
      <c r="O19" s="4" t="s">
        <v>63</v>
      </c>
      <c r="P19" s="4" t="s">
        <v>64</v>
      </c>
      <c r="Q19" s="3" t="s">
        <v>79</v>
      </c>
      <c r="R19" s="3" t="s">
        <v>130</v>
      </c>
      <c r="S19" s="3" t="s">
        <v>67</v>
      </c>
      <c r="T19" s="3" t="s">
        <v>68</v>
      </c>
      <c r="U19" s="3" t="s">
        <v>69</v>
      </c>
      <c r="V19" s="5" t="s">
        <v>1073</v>
      </c>
      <c r="W19" s="5"/>
      <c r="X19" s="5"/>
      <c r="Y19" s="5" t="s">
        <v>70</v>
      </c>
      <c r="Z19" s="5" t="s">
        <v>70</v>
      </c>
      <c r="AA19" s="5"/>
      <c r="AB19" s="5"/>
      <c r="AC19" s="5"/>
      <c r="AD19" s="5"/>
      <c r="AE19" s="5"/>
      <c r="AF19" s="5"/>
      <c r="AG19" s="5"/>
      <c r="AH19" s="5"/>
    </row>
    <row r="20" spans="1:34" ht="43.2" x14ac:dyDescent="0.3">
      <c r="A20" s="3">
        <v>19</v>
      </c>
      <c r="B20" s="3" t="s">
        <v>53</v>
      </c>
      <c r="C20" s="3" t="s">
        <v>161</v>
      </c>
      <c r="D20" s="3" t="s">
        <v>162</v>
      </c>
      <c r="E20" s="3" t="s">
        <v>163</v>
      </c>
      <c r="F20" s="3" t="s">
        <v>91</v>
      </c>
      <c r="G20" s="3" t="s">
        <v>75</v>
      </c>
      <c r="H20" s="3" t="s">
        <v>59</v>
      </c>
      <c r="I20" s="3" t="s">
        <v>59</v>
      </c>
      <c r="J20" s="3" t="s">
        <v>164</v>
      </c>
      <c r="K20" s="3"/>
      <c r="L20" s="3"/>
      <c r="M20" s="3" t="s">
        <v>165</v>
      </c>
      <c r="N20" s="3" t="s">
        <v>166</v>
      </c>
      <c r="O20" s="4" t="s">
        <v>63</v>
      </c>
      <c r="P20" s="4" t="s">
        <v>64</v>
      </c>
      <c r="Q20" s="3" t="s">
        <v>95</v>
      </c>
      <c r="R20" s="3" t="s">
        <v>167</v>
      </c>
      <c r="S20" s="3" t="s">
        <v>67</v>
      </c>
      <c r="T20" s="3" t="s">
        <v>68</v>
      </c>
      <c r="U20" s="3" t="s">
        <v>69</v>
      </c>
      <c r="V20" s="5" t="s">
        <v>1072</v>
      </c>
      <c r="W20" s="5"/>
      <c r="X20" s="5"/>
      <c r="Y20" s="5" t="s">
        <v>70</v>
      </c>
      <c r="Z20" s="5" t="s">
        <v>70</v>
      </c>
      <c r="AA20" s="5"/>
      <c r="AB20" s="5"/>
      <c r="AC20" s="5"/>
      <c r="AD20" s="5"/>
      <c r="AE20" s="5"/>
      <c r="AF20" s="5"/>
      <c r="AG20" s="5"/>
      <c r="AH20" s="5"/>
    </row>
    <row r="21" spans="1:34" ht="43.2" x14ac:dyDescent="0.3">
      <c r="A21" s="3">
        <v>20</v>
      </c>
      <c r="B21" s="3" t="s">
        <v>53</v>
      </c>
      <c r="C21" s="3" t="s">
        <v>168</v>
      </c>
      <c r="D21" s="3" t="s">
        <v>169</v>
      </c>
      <c r="E21" s="3" t="s">
        <v>170</v>
      </c>
      <c r="F21" s="3" t="s">
        <v>171</v>
      </c>
      <c r="G21" s="3" t="s">
        <v>172</v>
      </c>
      <c r="H21" s="3" t="s">
        <v>59</v>
      </c>
      <c r="I21" s="3" t="s">
        <v>59</v>
      </c>
      <c r="J21" s="3" t="s">
        <v>173</v>
      </c>
      <c r="K21" s="3"/>
      <c r="L21" s="3"/>
      <c r="M21" s="3" t="s">
        <v>174</v>
      </c>
      <c r="N21" s="3" t="s">
        <v>175</v>
      </c>
      <c r="O21" s="4" t="s">
        <v>63</v>
      </c>
      <c r="P21" s="4" t="s">
        <v>64</v>
      </c>
      <c r="Q21" s="3" t="s">
        <v>176</v>
      </c>
      <c r="R21" s="3" t="s">
        <v>87</v>
      </c>
      <c r="S21" s="3" t="s">
        <v>67</v>
      </c>
      <c r="T21" s="3" t="s">
        <v>68</v>
      </c>
      <c r="U21" s="3" t="s">
        <v>69</v>
      </c>
      <c r="V21" s="5" t="s">
        <v>1076</v>
      </c>
      <c r="W21" s="5"/>
      <c r="X21" s="5"/>
      <c r="Y21" s="5" t="s">
        <v>70</v>
      </c>
      <c r="Z21" s="5" t="s">
        <v>70</v>
      </c>
      <c r="AA21" s="5"/>
      <c r="AB21" s="5"/>
      <c r="AC21" s="5"/>
      <c r="AD21" s="5"/>
      <c r="AE21" s="5"/>
      <c r="AF21" s="5"/>
      <c r="AG21" s="5"/>
      <c r="AH21" s="5"/>
    </row>
    <row r="22" spans="1:34" ht="43.2" x14ac:dyDescent="0.3">
      <c r="A22" s="3">
        <v>21</v>
      </c>
      <c r="B22" s="3" t="s">
        <v>53</v>
      </c>
      <c r="C22" s="3" t="s">
        <v>177</v>
      </c>
      <c r="D22" s="3" t="s">
        <v>178</v>
      </c>
      <c r="E22" s="3" t="s">
        <v>90</v>
      </c>
      <c r="F22" s="3" t="s">
        <v>74</v>
      </c>
      <c r="G22" s="3" t="s">
        <v>75</v>
      </c>
      <c r="H22" s="3" t="s">
        <v>59</v>
      </c>
      <c r="I22" s="3" t="s">
        <v>59</v>
      </c>
      <c r="J22" s="3" t="s">
        <v>179</v>
      </c>
      <c r="K22" s="3"/>
      <c r="L22" s="3"/>
      <c r="M22" s="3" t="s">
        <v>180</v>
      </c>
      <c r="N22" s="3" t="s">
        <v>181</v>
      </c>
      <c r="O22" s="4" t="s">
        <v>63</v>
      </c>
      <c r="P22" s="4" t="s">
        <v>64</v>
      </c>
      <c r="Q22" s="3" t="s">
        <v>79</v>
      </c>
      <c r="R22" s="3" t="s">
        <v>80</v>
      </c>
      <c r="S22" s="3" t="s">
        <v>67</v>
      </c>
      <c r="T22" s="3" t="s">
        <v>68</v>
      </c>
      <c r="U22" s="3" t="s">
        <v>69</v>
      </c>
      <c r="V22" s="5" t="s">
        <v>1072</v>
      </c>
      <c r="W22" s="5"/>
      <c r="X22" s="5"/>
      <c r="Y22" s="5" t="s">
        <v>70</v>
      </c>
      <c r="Z22" s="5" t="s">
        <v>70</v>
      </c>
      <c r="AA22" s="5"/>
      <c r="AB22" s="5"/>
      <c r="AC22" s="5"/>
      <c r="AD22" s="5"/>
      <c r="AE22" s="5"/>
      <c r="AF22" s="5"/>
      <c r="AG22" s="5"/>
      <c r="AH22" s="5"/>
    </row>
    <row r="23" spans="1:34" ht="43.2" x14ac:dyDescent="0.3">
      <c r="A23" s="3">
        <v>22</v>
      </c>
      <c r="B23" s="3" t="s">
        <v>53</v>
      </c>
      <c r="C23" s="3" t="s">
        <v>182</v>
      </c>
      <c r="D23" s="3" t="s">
        <v>183</v>
      </c>
      <c r="E23" s="3" t="s">
        <v>184</v>
      </c>
      <c r="F23" s="3" t="s">
        <v>185</v>
      </c>
      <c r="G23" s="3" t="s">
        <v>75</v>
      </c>
      <c r="H23" s="3" t="s">
        <v>59</v>
      </c>
      <c r="I23" s="3" t="s">
        <v>59</v>
      </c>
      <c r="J23" s="3" t="s">
        <v>186</v>
      </c>
      <c r="K23" s="3"/>
      <c r="L23" s="3"/>
      <c r="M23" s="3" t="s">
        <v>187</v>
      </c>
      <c r="N23" s="3" t="s">
        <v>188</v>
      </c>
      <c r="O23" s="4" t="s">
        <v>63</v>
      </c>
      <c r="P23" s="4" t="s">
        <v>64</v>
      </c>
      <c r="Q23" s="3" t="s">
        <v>79</v>
      </c>
      <c r="R23" s="3" t="s">
        <v>66</v>
      </c>
      <c r="S23" s="3" t="s">
        <v>67</v>
      </c>
      <c r="T23" s="3" t="s">
        <v>68</v>
      </c>
      <c r="U23" s="3" t="s">
        <v>69</v>
      </c>
      <c r="V23" s="5" t="s">
        <v>1072</v>
      </c>
      <c r="W23" s="5"/>
      <c r="X23" s="5"/>
      <c r="Y23" s="5" t="s">
        <v>70</v>
      </c>
      <c r="Z23" s="5" t="s">
        <v>70</v>
      </c>
      <c r="AA23" s="5"/>
      <c r="AB23" s="5"/>
      <c r="AC23" s="5"/>
      <c r="AD23" s="5"/>
      <c r="AE23" s="5"/>
      <c r="AF23" s="5"/>
      <c r="AG23" s="5"/>
      <c r="AH23" s="5"/>
    </row>
    <row r="24" spans="1:34" ht="43.2" x14ac:dyDescent="0.3">
      <c r="A24" s="3">
        <v>23</v>
      </c>
      <c r="B24" s="3" t="s">
        <v>53</v>
      </c>
      <c r="C24" s="3" t="s">
        <v>189</v>
      </c>
      <c r="D24" s="3" t="s">
        <v>190</v>
      </c>
      <c r="E24" s="3" t="s">
        <v>191</v>
      </c>
      <c r="F24" s="3" t="s">
        <v>74</v>
      </c>
      <c r="G24" s="3" t="s">
        <v>75</v>
      </c>
      <c r="H24" s="3" t="s">
        <v>59</v>
      </c>
      <c r="I24" s="3" t="s">
        <v>59</v>
      </c>
      <c r="J24" s="3" t="s">
        <v>192</v>
      </c>
      <c r="K24" s="3"/>
      <c r="L24" s="3"/>
      <c r="M24" s="3" t="s">
        <v>193</v>
      </c>
      <c r="N24" s="3" t="s">
        <v>194</v>
      </c>
      <c r="O24" s="4" t="s">
        <v>63</v>
      </c>
      <c r="P24" s="4" t="s">
        <v>64</v>
      </c>
      <c r="Q24" s="3" t="s">
        <v>79</v>
      </c>
      <c r="R24" s="3" t="s">
        <v>87</v>
      </c>
      <c r="S24" s="3" t="s">
        <v>67</v>
      </c>
      <c r="T24" s="3" t="s">
        <v>68</v>
      </c>
      <c r="U24" s="3" t="s">
        <v>69</v>
      </c>
      <c r="V24" s="5" t="s">
        <v>1072</v>
      </c>
      <c r="W24" s="5"/>
      <c r="X24" s="5"/>
      <c r="Y24" s="5" t="s">
        <v>70</v>
      </c>
      <c r="Z24" s="5" t="s">
        <v>70</v>
      </c>
      <c r="AA24" s="5"/>
      <c r="AB24" s="5"/>
      <c r="AC24" s="5"/>
      <c r="AD24" s="5"/>
      <c r="AE24" s="5"/>
      <c r="AF24" s="5"/>
      <c r="AG24" s="5"/>
      <c r="AH24" s="5"/>
    </row>
    <row r="25" spans="1:34" ht="43.2" x14ac:dyDescent="0.3">
      <c r="A25" s="3">
        <v>24</v>
      </c>
      <c r="B25" s="3" t="s">
        <v>53</v>
      </c>
      <c r="C25" s="3" t="s">
        <v>195</v>
      </c>
      <c r="D25" s="3" t="s">
        <v>196</v>
      </c>
      <c r="E25" s="3" t="s">
        <v>197</v>
      </c>
      <c r="F25" s="3" t="s">
        <v>91</v>
      </c>
      <c r="G25" s="3" t="s">
        <v>75</v>
      </c>
      <c r="H25" s="3" t="s">
        <v>59</v>
      </c>
      <c r="I25" s="3" t="s">
        <v>59</v>
      </c>
      <c r="J25" s="3" t="s">
        <v>198</v>
      </c>
      <c r="K25" s="3"/>
      <c r="L25" s="3"/>
      <c r="M25" s="3" t="s">
        <v>199</v>
      </c>
      <c r="N25" s="3" t="s">
        <v>200</v>
      </c>
      <c r="O25" s="4" t="s">
        <v>63</v>
      </c>
      <c r="P25" s="4" t="s">
        <v>64</v>
      </c>
      <c r="Q25" s="3" t="s">
        <v>95</v>
      </c>
      <c r="R25" s="3" t="s">
        <v>66</v>
      </c>
      <c r="S25" s="3" t="s">
        <v>67</v>
      </c>
      <c r="T25" s="3" t="s">
        <v>68</v>
      </c>
      <c r="U25" s="3" t="s">
        <v>69</v>
      </c>
      <c r="V25" s="5" t="s">
        <v>1072</v>
      </c>
      <c r="W25" s="5"/>
      <c r="X25" s="5"/>
      <c r="Y25" s="5" t="s">
        <v>70</v>
      </c>
      <c r="Z25" s="5" t="s">
        <v>70</v>
      </c>
      <c r="AA25" s="5"/>
      <c r="AB25" s="5"/>
      <c r="AC25" s="5"/>
      <c r="AD25" s="5"/>
      <c r="AE25" s="5"/>
      <c r="AF25" s="5"/>
      <c r="AG25" s="5"/>
      <c r="AH25" s="5"/>
    </row>
    <row r="26" spans="1:34" ht="115.2" x14ac:dyDescent="0.3">
      <c r="A26" s="3">
        <v>25</v>
      </c>
      <c r="B26" s="3" t="s">
        <v>53</v>
      </c>
      <c r="C26" s="3" t="s">
        <v>201</v>
      </c>
      <c r="D26" s="3" t="s">
        <v>202</v>
      </c>
      <c r="E26" s="3" t="s">
        <v>203</v>
      </c>
      <c r="F26" s="3" t="s">
        <v>204</v>
      </c>
      <c r="G26" s="3" t="s">
        <v>205</v>
      </c>
      <c r="H26" s="3" t="s">
        <v>59</v>
      </c>
      <c r="I26" s="3" t="s">
        <v>59</v>
      </c>
      <c r="J26" s="3" t="s">
        <v>206</v>
      </c>
      <c r="K26" s="3"/>
      <c r="L26" s="3" t="s">
        <v>207</v>
      </c>
      <c r="M26" s="3" t="s">
        <v>208</v>
      </c>
      <c r="N26" s="3" t="s">
        <v>209</v>
      </c>
      <c r="O26" s="4" t="s">
        <v>63</v>
      </c>
      <c r="P26" s="4" t="s">
        <v>64</v>
      </c>
      <c r="Q26" s="3" t="s">
        <v>210</v>
      </c>
      <c r="R26" s="3" t="s">
        <v>211</v>
      </c>
      <c r="S26" s="3" t="s">
        <v>67</v>
      </c>
      <c r="T26" s="3" t="s">
        <v>68</v>
      </c>
      <c r="U26" s="3" t="s">
        <v>69</v>
      </c>
      <c r="V26" s="5" t="s">
        <v>1072</v>
      </c>
      <c r="W26" s="5"/>
      <c r="X26" s="5"/>
      <c r="Y26" s="5" t="s">
        <v>70</v>
      </c>
      <c r="Z26" s="5" t="s">
        <v>70</v>
      </c>
      <c r="AA26" s="5"/>
      <c r="AB26" s="5"/>
      <c r="AC26" s="5"/>
      <c r="AD26" s="5"/>
      <c r="AE26" s="5"/>
      <c r="AF26" s="5"/>
      <c r="AG26" s="5"/>
      <c r="AH26" s="5"/>
    </row>
    <row r="27" spans="1:34" ht="115.2" x14ac:dyDescent="0.3">
      <c r="A27" s="3">
        <v>26</v>
      </c>
      <c r="B27" s="3" t="s">
        <v>53</v>
      </c>
      <c r="C27" s="3" t="s">
        <v>212</v>
      </c>
      <c r="D27" s="3" t="s">
        <v>213</v>
      </c>
      <c r="E27" s="3" t="s">
        <v>214</v>
      </c>
      <c r="F27" s="3" t="s">
        <v>215</v>
      </c>
      <c r="G27" s="3" t="s">
        <v>216</v>
      </c>
      <c r="H27" s="3" t="s">
        <v>59</v>
      </c>
      <c r="I27" s="3" t="s">
        <v>59</v>
      </c>
      <c r="J27" s="3" t="s">
        <v>217</v>
      </c>
      <c r="K27" s="3"/>
      <c r="L27" s="3" t="s">
        <v>218</v>
      </c>
      <c r="M27" s="3" t="s">
        <v>219</v>
      </c>
      <c r="N27" s="3" t="s">
        <v>220</v>
      </c>
      <c r="O27" s="4" t="s">
        <v>63</v>
      </c>
      <c r="P27" s="4" t="s">
        <v>64</v>
      </c>
      <c r="Q27" s="3" t="s">
        <v>221</v>
      </c>
      <c r="R27" s="3" t="s">
        <v>222</v>
      </c>
      <c r="S27" s="3" t="s">
        <v>67</v>
      </c>
      <c r="T27" s="3" t="s">
        <v>68</v>
      </c>
      <c r="U27" s="3" t="s">
        <v>69</v>
      </c>
      <c r="V27" s="5" t="s">
        <v>1072</v>
      </c>
      <c r="W27" s="5"/>
      <c r="X27" s="5"/>
      <c r="Y27" s="5" t="s">
        <v>70</v>
      </c>
      <c r="Z27" s="5" t="s">
        <v>70</v>
      </c>
      <c r="AA27" s="5"/>
      <c r="AB27" s="5"/>
      <c r="AC27" s="5"/>
      <c r="AD27" s="5"/>
      <c r="AE27" s="5"/>
      <c r="AF27" s="5"/>
      <c r="AG27" s="5"/>
      <c r="AH27" s="5"/>
    </row>
    <row r="28" spans="1:34" ht="43.2" x14ac:dyDescent="0.3">
      <c r="A28" s="3">
        <v>27</v>
      </c>
      <c r="B28" s="3" t="s">
        <v>53</v>
      </c>
      <c r="C28" s="3" t="s">
        <v>223</v>
      </c>
      <c r="D28" s="3" t="s">
        <v>224</v>
      </c>
      <c r="E28" s="3" t="s">
        <v>225</v>
      </c>
      <c r="F28" s="3" t="s">
        <v>185</v>
      </c>
      <c r="G28" s="3" t="s">
        <v>75</v>
      </c>
      <c r="H28" s="3" t="s">
        <v>59</v>
      </c>
      <c r="I28" s="3" t="s">
        <v>59</v>
      </c>
      <c r="J28" s="3" t="s">
        <v>226</v>
      </c>
      <c r="K28" s="3"/>
      <c r="L28" s="3"/>
      <c r="M28" s="3" t="s">
        <v>227</v>
      </c>
      <c r="N28" s="3" t="s">
        <v>228</v>
      </c>
      <c r="O28" s="4" t="s">
        <v>63</v>
      </c>
      <c r="P28" s="4" t="s">
        <v>64</v>
      </c>
      <c r="Q28" s="3" t="s">
        <v>79</v>
      </c>
      <c r="R28" s="3" t="s">
        <v>229</v>
      </c>
      <c r="S28" s="3" t="s">
        <v>67</v>
      </c>
      <c r="T28" s="3" t="s">
        <v>68</v>
      </c>
      <c r="U28" s="3" t="s">
        <v>69</v>
      </c>
      <c r="V28" s="5" t="s">
        <v>1072</v>
      </c>
      <c r="W28" s="5"/>
      <c r="X28" s="5"/>
      <c r="Y28" s="5" t="s">
        <v>70</v>
      </c>
      <c r="Z28" s="5" t="s">
        <v>70</v>
      </c>
      <c r="AA28" s="5"/>
      <c r="AB28" s="5"/>
      <c r="AC28" s="5"/>
      <c r="AD28" s="5"/>
      <c r="AE28" s="5"/>
      <c r="AF28" s="5"/>
      <c r="AG28" s="5"/>
      <c r="AH28" s="5"/>
    </row>
    <row r="29" spans="1:34" ht="172.8" x14ac:dyDescent="0.3">
      <c r="A29" s="3">
        <v>28</v>
      </c>
      <c r="B29" s="3" t="s">
        <v>53</v>
      </c>
      <c r="C29" s="3" t="s">
        <v>230</v>
      </c>
      <c r="D29" s="3" t="s">
        <v>231</v>
      </c>
      <c r="E29" s="3" t="s">
        <v>232</v>
      </c>
      <c r="F29" s="3" t="s">
        <v>233</v>
      </c>
      <c r="G29" s="3" t="s">
        <v>234</v>
      </c>
      <c r="H29" s="3" t="s">
        <v>59</v>
      </c>
      <c r="I29" s="3" t="s">
        <v>59</v>
      </c>
      <c r="J29" s="3" t="s">
        <v>235</v>
      </c>
      <c r="K29" s="3"/>
      <c r="L29" s="3" t="s">
        <v>236</v>
      </c>
      <c r="M29" s="3" t="s">
        <v>237</v>
      </c>
      <c r="N29" s="3" t="s">
        <v>238</v>
      </c>
      <c r="O29" s="4" t="s">
        <v>63</v>
      </c>
      <c r="P29" s="4" t="s">
        <v>64</v>
      </c>
      <c r="Q29" s="3" t="s">
        <v>176</v>
      </c>
      <c r="R29" s="3" t="s">
        <v>80</v>
      </c>
      <c r="S29" s="3" t="s">
        <v>67</v>
      </c>
      <c r="T29" s="3" t="s">
        <v>68</v>
      </c>
      <c r="U29" s="3" t="s">
        <v>69</v>
      </c>
      <c r="V29" s="5" t="s">
        <v>1075</v>
      </c>
      <c r="W29" s="5"/>
      <c r="X29" s="5"/>
      <c r="Y29" s="5" t="s">
        <v>70</v>
      </c>
      <c r="Z29" s="5" t="s">
        <v>70</v>
      </c>
      <c r="AA29" s="5"/>
      <c r="AB29" s="5"/>
      <c r="AC29" s="5"/>
      <c r="AD29" s="5"/>
      <c r="AE29" s="5"/>
      <c r="AF29" s="5"/>
      <c r="AG29" s="5"/>
      <c r="AH29" s="5"/>
    </row>
    <row r="30" spans="1:34" ht="158.4" x14ac:dyDescent="0.3">
      <c r="A30" s="3">
        <v>29</v>
      </c>
      <c r="B30" s="3" t="s">
        <v>53</v>
      </c>
      <c r="C30" s="3" t="s">
        <v>239</v>
      </c>
      <c r="D30" s="3" t="s">
        <v>240</v>
      </c>
      <c r="E30" s="3" t="s">
        <v>241</v>
      </c>
      <c r="F30" s="3" t="s">
        <v>242</v>
      </c>
      <c r="G30" s="3" t="s">
        <v>243</v>
      </c>
      <c r="H30" s="3" t="s">
        <v>59</v>
      </c>
      <c r="I30" s="3" t="s">
        <v>59</v>
      </c>
      <c r="J30" s="3" t="s">
        <v>244</v>
      </c>
      <c r="K30" s="3"/>
      <c r="L30" s="3" t="s">
        <v>245</v>
      </c>
      <c r="M30" s="3" t="s">
        <v>246</v>
      </c>
      <c r="N30" s="3" t="s">
        <v>247</v>
      </c>
      <c r="O30" s="4" t="s">
        <v>63</v>
      </c>
      <c r="P30" s="4" t="s">
        <v>64</v>
      </c>
      <c r="Q30" s="3" t="s">
        <v>176</v>
      </c>
      <c r="R30" s="3" t="s">
        <v>248</v>
      </c>
      <c r="S30" s="3" t="s">
        <v>67</v>
      </c>
      <c r="T30" s="3" t="s">
        <v>68</v>
      </c>
      <c r="U30" s="3" t="s">
        <v>69</v>
      </c>
      <c r="V30" s="5" t="s">
        <v>1075</v>
      </c>
      <c r="W30" s="5"/>
      <c r="X30" s="5"/>
      <c r="Y30" s="5" t="s">
        <v>70</v>
      </c>
      <c r="Z30" s="5" t="s">
        <v>70</v>
      </c>
      <c r="AA30" s="5"/>
      <c r="AB30" s="5"/>
      <c r="AC30" s="5"/>
      <c r="AD30" s="5"/>
      <c r="AE30" s="5"/>
      <c r="AF30" s="5"/>
      <c r="AG30" s="5"/>
      <c r="AH30" s="5"/>
    </row>
    <row r="31" spans="1:34" ht="144" x14ac:dyDescent="0.3">
      <c r="A31" s="3">
        <v>30</v>
      </c>
      <c r="B31" s="3" t="s">
        <v>53</v>
      </c>
      <c r="C31" s="3" t="s">
        <v>249</v>
      </c>
      <c r="D31" s="3" t="s">
        <v>250</v>
      </c>
      <c r="E31" s="3" t="s">
        <v>251</v>
      </c>
      <c r="F31" s="3" t="s">
        <v>252</v>
      </c>
      <c r="G31" s="3" t="s">
        <v>253</v>
      </c>
      <c r="H31" s="3" t="s">
        <v>59</v>
      </c>
      <c r="I31" s="3" t="s">
        <v>59</v>
      </c>
      <c r="J31" s="3" t="s">
        <v>254</v>
      </c>
      <c r="K31" s="3"/>
      <c r="L31" s="3" t="s">
        <v>255</v>
      </c>
      <c r="M31" s="3" t="s">
        <v>256</v>
      </c>
      <c r="N31" s="3" t="s">
        <v>257</v>
      </c>
      <c r="O31" s="4" t="s">
        <v>63</v>
      </c>
      <c r="P31" s="4" t="s">
        <v>64</v>
      </c>
      <c r="Q31" s="3" t="s">
        <v>258</v>
      </c>
      <c r="R31" s="3" t="s">
        <v>259</v>
      </c>
      <c r="S31" s="3" t="s">
        <v>67</v>
      </c>
      <c r="T31" s="3" t="s">
        <v>68</v>
      </c>
      <c r="U31" s="3" t="s">
        <v>69</v>
      </c>
      <c r="V31" s="5" t="s">
        <v>1072</v>
      </c>
      <c r="W31" s="5"/>
      <c r="X31" s="5"/>
      <c r="Y31" s="5" t="s">
        <v>70</v>
      </c>
      <c r="Z31" s="5" t="s">
        <v>70</v>
      </c>
      <c r="AA31" s="5"/>
      <c r="AB31" s="5"/>
      <c r="AC31" s="5"/>
      <c r="AD31" s="5"/>
      <c r="AE31" s="5"/>
      <c r="AF31" s="5"/>
      <c r="AG31" s="5"/>
      <c r="AH31" s="5"/>
    </row>
    <row r="32" spans="1:34" ht="43.2" x14ac:dyDescent="0.3">
      <c r="A32" s="3">
        <v>31</v>
      </c>
      <c r="B32" s="3" t="s">
        <v>53</v>
      </c>
      <c r="C32" s="3" t="s">
        <v>260</v>
      </c>
      <c r="D32" s="3" t="s">
        <v>261</v>
      </c>
      <c r="E32" s="3" t="s">
        <v>262</v>
      </c>
      <c r="F32" s="3" t="s">
        <v>263</v>
      </c>
      <c r="G32" s="3" t="s">
        <v>264</v>
      </c>
      <c r="H32" s="3" t="s">
        <v>59</v>
      </c>
      <c r="I32" s="3" t="s">
        <v>59</v>
      </c>
      <c r="J32" s="3" t="s">
        <v>265</v>
      </c>
      <c r="K32" s="3"/>
      <c r="L32" s="3"/>
      <c r="M32" s="3" t="s">
        <v>266</v>
      </c>
      <c r="N32" s="3" t="s">
        <v>267</v>
      </c>
      <c r="O32" s="4" t="s">
        <v>63</v>
      </c>
      <c r="P32" s="4" t="s">
        <v>64</v>
      </c>
      <c r="Q32" s="3" t="s">
        <v>268</v>
      </c>
      <c r="R32" s="3" t="s">
        <v>229</v>
      </c>
      <c r="S32" s="3" t="s">
        <v>67</v>
      </c>
      <c r="T32" s="3" t="s">
        <v>68</v>
      </c>
      <c r="U32" s="3" t="s">
        <v>69</v>
      </c>
      <c r="V32" s="5" t="s">
        <v>1072</v>
      </c>
      <c r="W32" s="5"/>
      <c r="X32" s="5"/>
      <c r="Y32" s="5" t="s">
        <v>70</v>
      </c>
      <c r="Z32" s="5" t="s">
        <v>70</v>
      </c>
      <c r="AA32" s="5"/>
      <c r="AB32" s="5"/>
      <c r="AC32" s="5"/>
      <c r="AD32" s="5"/>
      <c r="AE32" s="5"/>
      <c r="AF32" s="5"/>
      <c r="AG32" s="5"/>
      <c r="AH32" s="5"/>
    </row>
    <row r="33" spans="1:34" ht="43.2" x14ac:dyDescent="0.3">
      <c r="A33" s="3">
        <v>32</v>
      </c>
      <c r="B33" s="3" t="s">
        <v>53</v>
      </c>
      <c r="C33" s="3" t="s">
        <v>269</v>
      </c>
      <c r="D33" s="3" t="s">
        <v>270</v>
      </c>
      <c r="E33" s="3" t="s">
        <v>271</v>
      </c>
      <c r="F33" s="3" t="s">
        <v>272</v>
      </c>
      <c r="G33" s="3" t="s">
        <v>273</v>
      </c>
      <c r="H33" s="3" t="s">
        <v>274</v>
      </c>
      <c r="I33" s="3" t="s">
        <v>274</v>
      </c>
      <c r="J33" s="3" t="s">
        <v>275</v>
      </c>
      <c r="K33" s="3"/>
      <c r="L33" s="3"/>
      <c r="M33" s="3" t="s">
        <v>276</v>
      </c>
      <c r="N33" s="3" t="s">
        <v>277</v>
      </c>
      <c r="O33" s="4" t="s">
        <v>63</v>
      </c>
      <c r="P33" s="4" t="s">
        <v>64</v>
      </c>
      <c r="Q33" s="3" t="s">
        <v>278</v>
      </c>
      <c r="R33" s="3" t="s">
        <v>279</v>
      </c>
      <c r="S33" s="3" t="s">
        <v>67</v>
      </c>
      <c r="T33" s="3" t="s">
        <v>68</v>
      </c>
      <c r="U33" s="3" t="s">
        <v>69</v>
      </c>
      <c r="V33" s="5" t="s">
        <v>1073</v>
      </c>
      <c r="W33" s="5"/>
      <c r="X33" s="5"/>
      <c r="Y33" s="5" t="s">
        <v>70</v>
      </c>
      <c r="Z33" s="5" t="s">
        <v>70</v>
      </c>
      <c r="AA33" s="5"/>
      <c r="AB33" s="5"/>
      <c r="AC33" s="5"/>
      <c r="AD33" s="5"/>
      <c r="AE33" s="5"/>
      <c r="AF33" s="5"/>
      <c r="AG33" s="5"/>
      <c r="AH33" s="5"/>
    </row>
    <row r="34" spans="1:34" ht="43.2" x14ac:dyDescent="0.3">
      <c r="A34" s="3">
        <v>33</v>
      </c>
      <c r="B34" s="3" t="s">
        <v>53</v>
      </c>
      <c r="C34" s="3" t="s">
        <v>280</v>
      </c>
      <c r="D34" s="3" t="s">
        <v>281</v>
      </c>
      <c r="E34" s="3" t="s">
        <v>282</v>
      </c>
      <c r="F34" s="3" t="s">
        <v>74</v>
      </c>
      <c r="G34" s="3" t="s">
        <v>283</v>
      </c>
      <c r="H34" s="3" t="s">
        <v>59</v>
      </c>
      <c r="I34" s="3" t="s">
        <v>59</v>
      </c>
      <c r="J34" s="3" t="s">
        <v>284</v>
      </c>
      <c r="K34" s="3"/>
      <c r="L34" s="3"/>
      <c r="M34" s="3" t="s">
        <v>285</v>
      </c>
      <c r="N34" s="3" t="s">
        <v>286</v>
      </c>
      <c r="O34" s="4" t="s">
        <v>63</v>
      </c>
      <c r="P34" s="4" t="s">
        <v>64</v>
      </c>
      <c r="Q34" s="3" t="s">
        <v>79</v>
      </c>
      <c r="R34" s="3" t="s">
        <v>87</v>
      </c>
      <c r="S34" s="3" t="s">
        <v>67</v>
      </c>
      <c r="T34" s="3" t="s">
        <v>68</v>
      </c>
      <c r="U34" s="3" t="s">
        <v>69</v>
      </c>
      <c r="V34" s="5" t="s">
        <v>1072</v>
      </c>
      <c r="W34" s="5"/>
      <c r="X34" s="5"/>
      <c r="Y34" s="5" t="s">
        <v>70</v>
      </c>
      <c r="Z34" s="5" t="s">
        <v>70</v>
      </c>
      <c r="AA34" s="5"/>
      <c r="AB34" s="5"/>
      <c r="AC34" s="5"/>
      <c r="AD34" s="5"/>
      <c r="AE34" s="5"/>
      <c r="AF34" s="5"/>
      <c r="AG34" s="5"/>
      <c r="AH34" s="5"/>
    </row>
    <row r="35" spans="1:34" ht="43.2" x14ac:dyDescent="0.3">
      <c r="A35" s="3">
        <v>34</v>
      </c>
      <c r="B35" s="3" t="s">
        <v>53</v>
      </c>
      <c r="C35" s="3" t="s">
        <v>287</v>
      </c>
      <c r="D35" s="3" t="s">
        <v>288</v>
      </c>
      <c r="E35" s="3" t="s">
        <v>289</v>
      </c>
      <c r="F35" s="3" t="s">
        <v>290</v>
      </c>
      <c r="G35" s="3" t="s">
        <v>291</v>
      </c>
      <c r="H35" s="3" t="s">
        <v>59</v>
      </c>
      <c r="I35" s="3" t="s">
        <v>59</v>
      </c>
      <c r="J35" s="3" t="s">
        <v>292</v>
      </c>
      <c r="K35" s="3"/>
      <c r="L35" s="3"/>
      <c r="M35" s="3" t="s">
        <v>293</v>
      </c>
      <c r="N35" s="3" t="s">
        <v>294</v>
      </c>
      <c r="O35" s="4" t="s">
        <v>63</v>
      </c>
      <c r="P35" s="4" t="s">
        <v>64</v>
      </c>
      <c r="Q35" s="3" t="s">
        <v>221</v>
      </c>
      <c r="R35" s="3" t="s">
        <v>87</v>
      </c>
      <c r="S35" s="3" t="s">
        <v>67</v>
      </c>
      <c r="T35" s="3" t="s">
        <v>68</v>
      </c>
      <c r="U35" s="3" t="s">
        <v>69</v>
      </c>
      <c r="V35" s="5" t="s">
        <v>1073</v>
      </c>
      <c r="W35" s="5"/>
      <c r="X35" s="5"/>
      <c r="Y35" s="5" t="s">
        <v>70</v>
      </c>
      <c r="Z35" s="5" t="s">
        <v>70</v>
      </c>
      <c r="AA35" s="5"/>
      <c r="AB35" s="5"/>
      <c r="AC35" s="5"/>
      <c r="AD35" s="5"/>
      <c r="AE35" s="5"/>
      <c r="AF35" s="5"/>
      <c r="AG35" s="5"/>
      <c r="AH35" s="5"/>
    </row>
    <row r="36" spans="1:34" ht="43.2" x14ac:dyDescent="0.3">
      <c r="A36" s="3">
        <v>35</v>
      </c>
      <c r="B36" s="3" t="s">
        <v>53</v>
      </c>
      <c r="C36" s="3" t="s">
        <v>295</v>
      </c>
      <c r="D36" s="3" t="s">
        <v>296</v>
      </c>
      <c r="E36" s="3" t="s">
        <v>297</v>
      </c>
      <c r="F36" s="3" t="s">
        <v>298</v>
      </c>
      <c r="G36" s="3" t="s">
        <v>299</v>
      </c>
      <c r="H36" s="3" t="s">
        <v>59</v>
      </c>
      <c r="I36" s="3" t="s">
        <v>59</v>
      </c>
      <c r="J36" s="3" t="s">
        <v>300</v>
      </c>
      <c r="K36" s="3"/>
      <c r="L36" s="3"/>
      <c r="M36" s="3" t="s">
        <v>301</v>
      </c>
      <c r="N36" s="3" t="s">
        <v>302</v>
      </c>
      <c r="O36" s="4" t="s">
        <v>63</v>
      </c>
      <c r="P36" s="4" t="s">
        <v>64</v>
      </c>
      <c r="Q36" s="3" t="s">
        <v>303</v>
      </c>
      <c r="R36" s="3" t="s">
        <v>229</v>
      </c>
      <c r="S36" s="3" t="s">
        <v>67</v>
      </c>
      <c r="T36" s="3" t="s">
        <v>68</v>
      </c>
      <c r="U36" s="3" t="s">
        <v>69</v>
      </c>
      <c r="V36" s="5" t="s">
        <v>1073</v>
      </c>
      <c r="W36" s="5"/>
      <c r="X36" s="5"/>
      <c r="Y36" s="5" t="s">
        <v>70</v>
      </c>
      <c r="Z36" s="5" t="s">
        <v>70</v>
      </c>
      <c r="AA36" s="5"/>
      <c r="AB36" s="5"/>
      <c r="AC36" s="5"/>
      <c r="AD36" s="5"/>
      <c r="AE36" s="5"/>
      <c r="AF36" s="5"/>
      <c r="AG36" s="5"/>
      <c r="AH36" s="5"/>
    </row>
    <row r="37" spans="1:34" ht="43.2" x14ac:dyDescent="0.3">
      <c r="A37" s="3">
        <v>36</v>
      </c>
      <c r="B37" s="3" t="s">
        <v>53</v>
      </c>
      <c r="C37" s="3" t="s">
        <v>304</v>
      </c>
      <c r="D37" s="3" t="s">
        <v>305</v>
      </c>
      <c r="E37" s="3" t="s">
        <v>306</v>
      </c>
      <c r="F37" s="3" t="s">
        <v>307</v>
      </c>
      <c r="G37" s="3" t="s">
        <v>273</v>
      </c>
      <c r="H37" s="3" t="s">
        <v>59</v>
      </c>
      <c r="I37" s="3" t="s">
        <v>59</v>
      </c>
      <c r="J37" s="3" t="s">
        <v>308</v>
      </c>
      <c r="K37" s="3"/>
      <c r="L37" s="3"/>
      <c r="M37" s="3" t="s">
        <v>309</v>
      </c>
      <c r="N37" s="3" t="s">
        <v>310</v>
      </c>
      <c r="O37" s="4" t="s">
        <v>63</v>
      </c>
      <c r="P37" s="4" t="s">
        <v>64</v>
      </c>
      <c r="Q37" s="3" t="s">
        <v>311</v>
      </c>
      <c r="R37" s="3" t="s">
        <v>312</v>
      </c>
      <c r="S37" s="3" t="s">
        <v>67</v>
      </c>
      <c r="T37" s="3" t="s">
        <v>68</v>
      </c>
      <c r="U37" s="3" t="s">
        <v>69</v>
      </c>
      <c r="V37" s="5" t="s">
        <v>1072</v>
      </c>
      <c r="W37" s="5"/>
      <c r="X37" s="5"/>
      <c r="Y37" s="5" t="s">
        <v>70</v>
      </c>
      <c r="Z37" s="5" t="s">
        <v>70</v>
      </c>
      <c r="AA37" s="5"/>
      <c r="AB37" s="5"/>
      <c r="AC37" s="5"/>
      <c r="AD37" s="5"/>
      <c r="AE37" s="5"/>
      <c r="AF37" s="5"/>
      <c r="AG37" s="5"/>
      <c r="AH37" s="5"/>
    </row>
    <row r="38" spans="1:34" ht="57.6" x14ac:dyDescent="0.3">
      <c r="A38" s="3">
        <v>37</v>
      </c>
      <c r="B38" s="3" t="s">
        <v>53</v>
      </c>
      <c r="C38" s="3" t="s">
        <v>313</v>
      </c>
      <c r="D38" s="3" t="s">
        <v>314</v>
      </c>
      <c r="E38" s="3" t="s">
        <v>315</v>
      </c>
      <c r="F38" s="3" t="s">
        <v>316</v>
      </c>
      <c r="G38" s="3" t="s">
        <v>317</v>
      </c>
      <c r="H38" s="3" t="s">
        <v>59</v>
      </c>
      <c r="I38" s="3" t="s">
        <v>59</v>
      </c>
      <c r="J38" s="3" t="s">
        <v>318</v>
      </c>
      <c r="K38" s="3"/>
      <c r="L38" s="3"/>
      <c r="M38" s="3" t="s">
        <v>319</v>
      </c>
      <c r="N38" s="3" t="s">
        <v>320</v>
      </c>
      <c r="O38" s="4" t="s">
        <v>63</v>
      </c>
      <c r="P38" s="4" t="s">
        <v>64</v>
      </c>
      <c r="Q38" s="3" t="s">
        <v>321</v>
      </c>
      <c r="R38" s="3" t="s">
        <v>322</v>
      </c>
      <c r="S38" s="3" t="s">
        <v>67</v>
      </c>
      <c r="T38" s="3" t="s">
        <v>68</v>
      </c>
      <c r="U38" s="3" t="s">
        <v>69</v>
      </c>
      <c r="V38" s="5" t="s">
        <v>1072</v>
      </c>
      <c r="W38" s="5"/>
      <c r="X38" s="5"/>
      <c r="Y38" s="5" t="s">
        <v>70</v>
      </c>
      <c r="Z38" s="5" t="s">
        <v>70</v>
      </c>
      <c r="AA38" s="5"/>
      <c r="AB38" s="5"/>
      <c r="AC38" s="5"/>
      <c r="AD38" s="5"/>
      <c r="AE38" s="5"/>
      <c r="AF38" s="5"/>
      <c r="AG38" s="5"/>
      <c r="AH38" s="5"/>
    </row>
    <row r="39" spans="1:34" ht="158.4" x14ac:dyDescent="0.3">
      <c r="A39" s="3">
        <v>38</v>
      </c>
      <c r="B39" s="3" t="s">
        <v>53</v>
      </c>
      <c r="C39" s="3" t="s">
        <v>323</v>
      </c>
      <c r="D39" s="3" t="s">
        <v>324</v>
      </c>
      <c r="E39" s="3" t="s">
        <v>325</v>
      </c>
      <c r="F39" s="3" t="s">
        <v>326</v>
      </c>
      <c r="G39" s="3" t="s">
        <v>327</v>
      </c>
      <c r="H39" s="3" t="s">
        <v>59</v>
      </c>
      <c r="I39" s="3" t="s">
        <v>59</v>
      </c>
      <c r="J39" s="3" t="s">
        <v>328</v>
      </c>
      <c r="K39" s="3"/>
      <c r="L39" s="3" t="s">
        <v>329</v>
      </c>
      <c r="M39" s="3" t="s">
        <v>330</v>
      </c>
      <c r="N39" s="3" t="s">
        <v>331</v>
      </c>
      <c r="O39" s="4" t="s">
        <v>63</v>
      </c>
      <c r="P39" s="4" t="s">
        <v>64</v>
      </c>
      <c r="Q39" s="3" t="s">
        <v>332</v>
      </c>
      <c r="R39" s="3" t="s">
        <v>333</v>
      </c>
      <c r="S39" s="3" t="s">
        <v>67</v>
      </c>
      <c r="T39" s="3" t="s">
        <v>68</v>
      </c>
      <c r="U39" s="3" t="s">
        <v>69</v>
      </c>
      <c r="V39" s="5" t="s">
        <v>1072</v>
      </c>
      <c r="W39" s="5"/>
      <c r="X39" s="5"/>
      <c r="Y39" s="5" t="s">
        <v>70</v>
      </c>
      <c r="Z39" s="5" t="s">
        <v>70</v>
      </c>
      <c r="AA39" s="5"/>
      <c r="AB39" s="5"/>
      <c r="AC39" s="5"/>
      <c r="AD39" s="5"/>
      <c r="AE39" s="5"/>
      <c r="AF39" s="5"/>
      <c r="AG39" s="5"/>
      <c r="AH39" s="5"/>
    </row>
    <row r="40" spans="1:34" ht="43.2" x14ac:dyDescent="0.3">
      <c r="A40" s="3">
        <v>39</v>
      </c>
      <c r="B40" s="3" t="s">
        <v>53</v>
      </c>
      <c r="C40" s="3" t="s">
        <v>334</v>
      </c>
      <c r="D40" s="3" t="s">
        <v>335</v>
      </c>
      <c r="E40" s="3" t="s">
        <v>336</v>
      </c>
      <c r="F40" s="3" t="s">
        <v>337</v>
      </c>
      <c r="G40" s="3" t="s">
        <v>299</v>
      </c>
      <c r="H40" s="3" t="s">
        <v>59</v>
      </c>
      <c r="I40" s="3" t="s">
        <v>59</v>
      </c>
      <c r="J40" s="3" t="s">
        <v>338</v>
      </c>
      <c r="K40" s="3"/>
      <c r="L40" s="3"/>
      <c r="M40" s="3" t="s">
        <v>339</v>
      </c>
      <c r="N40" s="3" t="s">
        <v>340</v>
      </c>
      <c r="O40" s="4" t="s">
        <v>63</v>
      </c>
      <c r="P40" s="4" t="s">
        <v>64</v>
      </c>
      <c r="Q40" s="3" t="s">
        <v>65</v>
      </c>
      <c r="R40" s="3" t="s">
        <v>341</v>
      </c>
      <c r="S40" s="3" t="s">
        <v>67</v>
      </c>
      <c r="T40" s="3" t="s">
        <v>68</v>
      </c>
      <c r="U40" s="3" t="s">
        <v>69</v>
      </c>
      <c r="V40" s="5" t="s">
        <v>1072</v>
      </c>
      <c r="W40" s="5"/>
      <c r="X40" s="5"/>
      <c r="Y40" s="5" t="s">
        <v>70</v>
      </c>
      <c r="Z40" s="5" t="s">
        <v>70</v>
      </c>
      <c r="AA40" s="5"/>
      <c r="AB40" s="5"/>
      <c r="AC40" s="5"/>
      <c r="AD40" s="5"/>
      <c r="AE40" s="5"/>
      <c r="AF40" s="5"/>
      <c r="AG40" s="5"/>
      <c r="AH40" s="5"/>
    </row>
    <row r="41" spans="1:34" ht="129.6" x14ac:dyDescent="0.3">
      <c r="A41" s="3">
        <v>40</v>
      </c>
      <c r="B41" s="3" t="s">
        <v>53</v>
      </c>
      <c r="C41" s="3" t="s">
        <v>342</v>
      </c>
      <c r="D41" s="3" t="s">
        <v>343</v>
      </c>
      <c r="E41" s="3" t="s">
        <v>344</v>
      </c>
      <c r="F41" s="3" t="s">
        <v>345</v>
      </c>
      <c r="G41" s="3" t="s">
        <v>346</v>
      </c>
      <c r="H41" s="3" t="s">
        <v>59</v>
      </c>
      <c r="I41" s="3" t="s">
        <v>59</v>
      </c>
      <c r="J41" s="3" t="s">
        <v>347</v>
      </c>
      <c r="K41" s="3"/>
      <c r="L41" s="3" t="s">
        <v>348</v>
      </c>
      <c r="M41" s="3" t="s">
        <v>349</v>
      </c>
      <c r="N41" s="3" t="s">
        <v>350</v>
      </c>
      <c r="O41" s="4" t="s">
        <v>63</v>
      </c>
      <c r="P41" s="4" t="s">
        <v>64</v>
      </c>
      <c r="Q41" s="3" t="s">
        <v>65</v>
      </c>
      <c r="R41" s="3" t="s">
        <v>87</v>
      </c>
      <c r="S41" s="3" t="s">
        <v>67</v>
      </c>
      <c r="T41" s="3" t="s">
        <v>68</v>
      </c>
      <c r="U41" s="3" t="s">
        <v>69</v>
      </c>
      <c r="V41" s="5" t="s">
        <v>1072</v>
      </c>
      <c r="W41" s="5"/>
      <c r="X41" s="5"/>
      <c r="Y41" s="5" t="s">
        <v>70</v>
      </c>
      <c r="Z41" s="5" t="s">
        <v>70</v>
      </c>
      <c r="AA41" s="5"/>
      <c r="AB41" s="5"/>
      <c r="AC41" s="5"/>
      <c r="AD41" s="5"/>
      <c r="AE41" s="5"/>
      <c r="AF41" s="5"/>
      <c r="AG41" s="5"/>
      <c r="AH41" s="5"/>
    </row>
    <row r="42" spans="1:34" ht="129.6" x14ac:dyDescent="0.3">
      <c r="A42" s="3">
        <v>41</v>
      </c>
      <c r="B42" s="3" t="s">
        <v>53</v>
      </c>
      <c r="C42" s="3" t="s">
        <v>351</v>
      </c>
      <c r="D42" s="3" t="s">
        <v>352</v>
      </c>
      <c r="E42" s="3" t="s">
        <v>344</v>
      </c>
      <c r="F42" s="3" t="s">
        <v>345</v>
      </c>
      <c r="G42" s="3" t="s">
        <v>353</v>
      </c>
      <c r="H42" s="3" t="s">
        <v>59</v>
      </c>
      <c r="I42" s="3" t="s">
        <v>59</v>
      </c>
      <c r="J42" s="3" t="s">
        <v>354</v>
      </c>
      <c r="K42" s="3"/>
      <c r="L42" s="3" t="s">
        <v>348</v>
      </c>
      <c r="M42" s="3" t="s">
        <v>355</v>
      </c>
      <c r="N42" s="3" t="s">
        <v>356</v>
      </c>
      <c r="O42" s="4" t="s">
        <v>63</v>
      </c>
      <c r="P42" s="4" t="s">
        <v>64</v>
      </c>
      <c r="Q42" s="3" t="s">
        <v>65</v>
      </c>
      <c r="R42" s="3" t="s">
        <v>248</v>
      </c>
      <c r="S42" s="3" t="s">
        <v>67</v>
      </c>
      <c r="T42" s="3" t="s">
        <v>68</v>
      </c>
      <c r="U42" s="3" t="s">
        <v>69</v>
      </c>
      <c r="V42" s="5" t="s">
        <v>1072</v>
      </c>
      <c r="W42" s="5"/>
      <c r="X42" s="5"/>
      <c r="Y42" s="5" t="s">
        <v>70</v>
      </c>
      <c r="Z42" s="5" t="s">
        <v>70</v>
      </c>
      <c r="AA42" s="5"/>
      <c r="AB42" s="5"/>
      <c r="AC42" s="5"/>
      <c r="AD42" s="5"/>
      <c r="AE42" s="5"/>
      <c r="AF42" s="5"/>
      <c r="AG42" s="5"/>
      <c r="AH42" s="5"/>
    </row>
    <row r="43" spans="1:34" ht="172.8" x14ac:dyDescent="0.3">
      <c r="A43" s="3">
        <v>42</v>
      </c>
      <c r="B43" s="3" t="s">
        <v>53</v>
      </c>
      <c r="C43" s="3" t="s">
        <v>357</v>
      </c>
      <c r="D43" s="3" t="s">
        <v>358</v>
      </c>
      <c r="E43" s="3" t="s">
        <v>344</v>
      </c>
      <c r="F43" s="3" t="s">
        <v>359</v>
      </c>
      <c r="G43" s="3" t="s">
        <v>353</v>
      </c>
      <c r="H43" s="3" t="s">
        <v>59</v>
      </c>
      <c r="I43" s="3" t="s">
        <v>59</v>
      </c>
      <c r="J43" s="3" t="s">
        <v>360</v>
      </c>
      <c r="K43" s="3"/>
      <c r="L43" s="3" t="s">
        <v>361</v>
      </c>
      <c r="M43" s="3" t="s">
        <v>362</v>
      </c>
      <c r="N43" s="3" t="s">
        <v>363</v>
      </c>
      <c r="O43" s="4" t="s">
        <v>63</v>
      </c>
      <c r="P43" s="4" t="s">
        <v>64</v>
      </c>
      <c r="Q43" s="3" t="s">
        <v>65</v>
      </c>
      <c r="R43" s="3" t="s">
        <v>87</v>
      </c>
      <c r="S43" s="3" t="s">
        <v>67</v>
      </c>
      <c r="T43" s="3" t="s">
        <v>68</v>
      </c>
      <c r="U43" s="3" t="s">
        <v>69</v>
      </c>
      <c r="V43" s="5" t="s">
        <v>1072</v>
      </c>
      <c r="W43" s="5"/>
      <c r="X43" s="5"/>
      <c r="Y43" s="5" t="s">
        <v>70</v>
      </c>
      <c r="Z43" s="5" t="s">
        <v>70</v>
      </c>
      <c r="AA43" s="5"/>
      <c r="AB43" s="5"/>
      <c r="AC43" s="5"/>
      <c r="AD43" s="5"/>
      <c r="AE43" s="5"/>
      <c r="AF43" s="5"/>
      <c r="AG43" s="5"/>
      <c r="AH43" s="5"/>
    </row>
    <row r="44" spans="1:34" ht="172.8" x14ac:dyDescent="0.3">
      <c r="A44" s="3">
        <v>43</v>
      </c>
      <c r="B44" s="3" t="s">
        <v>53</v>
      </c>
      <c r="C44" s="3" t="s">
        <v>364</v>
      </c>
      <c r="D44" s="3" t="s">
        <v>365</v>
      </c>
      <c r="E44" s="3" t="s">
        <v>344</v>
      </c>
      <c r="F44" s="3" t="s">
        <v>359</v>
      </c>
      <c r="G44" s="3" t="s">
        <v>346</v>
      </c>
      <c r="H44" s="3" t="s">
        <v>59</v>
      </c>
      <c r="I44" s="3" t="s">
        <v>59</v>
      </c>
      <c r="J44" s="3" t="s">
        <v>366</v>
      </c>
      <c r="K44" s="3"/>
      <c r="L44" s="3" t="s">
        <v>361</v>
      </c>
      <c r="M44" s="3" t="s">
        <v>367</v>
      </c>
      <c r="N44" s="3" t="s">
        <v>368</v>
      </c>
      <c r="O44" s="4" t="s">
        <v>63</v>
      </c>
      <c r="P44" s="4" t="s">
        <v>64</v>
      </c>
      <c r="Q44" s="3" t="s">
        <v>65</v>
      </c>
      <c r="R44" s="3" t="s">
        <v>87</v>
      </c>
      <c r="S44" s="3" t="s">
        <v>67</v>
      </c>
      <c r="T44" s="3" t="s">
        <v>68</v>
      </c>
      <c r="U44" s="3" t="s">
        <v>69</v>
      </c>
      <c r="V44" s="5" t="s">
        <v>1072</v>
      </c>
      <c r="W44" s="5"/>
      <c r="X44" s="5"/>
      <c r="Y44" s="5" t="s">
        <v>70</v>
      </c>
      <c r="Z44" s="5" t="s">
        <v>70</v>
      </c>
      <c r="AA44" s="5"/>
      <c r="AB44" s="5"/>
      <c r="AC44" s="5"/>
      <c r="AD44" s="5"/>
      <c r="AE44" s="5"/>
      <c r="AF44" s="5"/>
      <c r="AG44" s="5"/>
      <c r="AH44" s="5"/>
    </row>
    <row r="45" spans="1:34" ht="129.6" x14ac:dyDescent="0.3">
      <c r="A45" s="3">
        <v>44</v>
      </c>
      <c r="B45" s="3" t="s">
        <v>53</v>
      </c>
      <c r="C45" s="3" t="s">
        <v>369</v>
      </c>
      <c r="D45" s="3" t="s">
        <v>370</v>
      </c>
      <c r="E45" s="3" t="s">
        <v>344</v>
      </c>
      <c r="F45" s="3" t="s">
        <v>345</v>
      </c>
      <c r="G45" s="3" t="s">
        <v>346</v>
      </c>
      <c r="H45" s="3" t="s">
        <v>59</v>
      </c>
      <c r="I45" s="3" t="s">
        <v>59</v>
      </c>
      <c r="J45" s="3" t="s">
        <v>371</v>
      </c>
      <c r="K45" s="3"/>
      <c r="L45" s="3" t="s">
        <v>348</v>
      </c>
      <c r="M45" s="3" t="s">
        <v>372</v>
      </c>
      <c r="N45" s="3" t="s">
        <v>373</v>
      </c>
      <c r="O45" s="4" t="s">
        <v>63</v>
      </c>
      <c r="P45" s="4" t="s">
        <v>64</v>
      </c>
      <c r="Q45" s="3" t="s">
        <v>65</v>
      </c>
      <c r="R45" s="3" t="s">
        <v>87</v>
      </c>
      <c r="S45" s="3" t="s">
        <v>67</v>
      </c>
      <c r="T45" s="3" t="s">
        <v>68</v>
      </c>
      <c r="U45" s="3" t="s">
        <v>69</v>
      </c>
      <c r="V45" s="5" t="s">
        <v>1072</v>
      </c>
      <c r="W45" s="5"/>
      <c r="X45" s="5"/>
      <c r="Y45" s="5" t="s">
        <v>70</v>
      </c>
      <c r="Z45" s="5" t="s">
        <v>70</v>
      </c>
      <c r="AA45" s="5"/>
      <c r="AB45" s="5"/>
      <c r="AC45" s="5"/>
      <c r="AD45" s="5"/>
      <c r="AE45" s="5"/>
      <c r="AF45" s="5"/>
      <c r="AG45" s="5"/>
      <c r="AH45" s="5"/>
    </row>
    <row r="46" spans="1:34" ht="172.8" x14ac:dyDescent="0.3">
      <c r="A46" s="3">
        <v>45</v>
      </c>
      <c r="B46" s="3" t="s">
        <v>53</v>
      </c>
      <c r="C46" s="3" t="s">
        <v>374</v>
      </c>
      <c r="D46" s="3" t="s">
        <v>375</v>
      </c>
      <c r="E46" s="3" t="s">
        <v>344</v>
      </c>
      <c r="F46" s="3" t="s">
        <v>359</v>
      </c>
      <c r="G46" s="3" t="s">
        <v>327</v>
      </c>
      <c r="H46" s="3" t="s">
        <v>59</v>
      </c>
      <c r="I46" s="3" t="s">
        <v>59</v>
      </c>
      <c r="J46" s="3" t="s">
        <v>347</v>
      </c>
      <c r="K46" s="3"/>
      <c r="L46" s="3" t="s">
        <v>376</v>
      </c>
      <c r="M46" s="3" t="s">
        <v>377</v>
      </c>
      <c r="N46" s="3" t="s">
        <v>378</v>
      </c>
      <c r="O46" s="4" t="s">
        <v>63</v>
      </c>
      <c r="P46" s="4" t="s">
        <v>64</v>
      </c>
      <c r="Q46" s="3" t="s">
        <v>65</v>
      </c>
      <c r="R46" s="3" t="s">
        <v>87</v>
      </c>
      <c r="S46" s="3" t="s">
        <v>67</v>
      </c>
      <c r="T46" s="3" t="s">
        <v>68</v>
      </c>
      <c r="U46" s="3" t="s">
        <v>69</v>
      </c>
      <c r="V46" s="5" t="s">
        <v>1072</v>
      </c>
      <c r="W46" s="5"/>
      <c r="X46" s="5"/>
      <c r="Y46" s="5" t="s">
        <v>70</v>
      </c>
      <c r="Z46" s="5" t="s">
        <v>70</v>
      </c>
      <c r="AA46" s="5"/>
      <c r="AB46" s="5"/>
      <c r="AC46" s="5"/>
      <c r="AD46" s="5"/>
      <c r="AE46" s="5"/>
      <c r="AF46" s="5"/>
      <c r="AG46" s="5"/>
      <c r="AH46" s="5"/>
    </row>
    <row r="47" spans="1:34" ht="172.8" x14ac:dyDescent="0.3">
      <c r="A47" s="3">
        <v>46</v>
      </c>
      <c r="B47" s="3" t="s">
        <v>53</v>
      </c>
      <c r="C47" s="3" t="s">
        <v>379</v>
      </c>
      <c r="D47" s="3" t="s">
        <v>380</v>
      </c>
      <c r="E47" s="3" t="s">
        <v>344</v>
      </c>
      <c r="F47" s="3" t="s">
        <v>359</v>
      </c>
      <c r="G47" s="3" t="s">
        <v>381</v>
      </c>
      <c r="H47" s="3" t="s">
        <v>59</v>
      </c>
      <c r="I47" s="3" t="s">
        <v>59</v>
      </c>
      <c r="J47" s="3" t="s">
        <v>366</v>
      </c>
      <c r="K47" s="3"/>
      <c r="L47" s="3" t="s">
        <v>361</v>
      </c>
      <c r="M47" s="3" t="s">
        <v>382</v>
      </c>
      <c r="N47" s="3" t="s">
        <v>383</v>
      </c>
      <c r="O47" s="4" t="s">
        <v>63</v>
      </c>
      <c r="P47" s="4" t="s">
        <v>64</v>
      </c>
      <c r="Q47" s="3" t="s">
        <v>65</v>
      </c>
      <c r="R47" s="3" t="s">
        <v>87</v>
      </c>
      <c r="S47" s="3" t="s">
        <v>67</v>
      </c>
      <c r="T47" s="3" t="s">
        <v>68</v>
      </c>
      <c r="U47" s="3" t="s">
        <v>69</v>
      </c>
      <c r="V47" s="5" t="s">
        <v>1072</v>
      </c>
      <c r="W47" s="5"/>
      <c r="X47" s="5"/>
      <c r="Y47" s="5" t="s">
        <v>70</v>
      </c>
      <c r="Z47" s="5" t="s">
        <v>70</v>
      </c>
      <c r="AA47" s="5"/>
      <c r="AB47" s="5"/>
      <c r="AC47" s="5"/>
      <c r="AD47" s="5"/>
      <c r="AE47" s="5"/>
      <c r="AF47" s="5"/>
      <c r="AG47" s="5"/>
      <c r="AH47" s="5"/>
    </row>
    <row r="48" spans="1:34" ht="172.8" x14ac:dyDescent="0.3">
      <c r="A48" s="3">
        <v>47</v>
      </c>
      <c r="B48" s="3" t="s">
        <v>53</v>
      </c>
      <c r="C48" s="3" t="s">
        <v>384</v>
      </c>
      <c r="D48" s="3" t="s">
        <v>385</v>
      </c>
      <c r="E48" s="3" t="s">
        <v>344</v>
      </c>
      <c r="F48" s="3" t="s">
        <v>359</v>
      </c>
      <c r="G48" s="3" t="s">
        <v>327</v>
      </c>
      <c r="H48" s="3" t="s">
        <v>59</v>
      </c>
      <c r="I48" s="3" t="s">
        <v>59</v>
      </c>
      <c r="J48" s="3" t="s">
        <v>386</v>
      </c>
      <c r="K48" s="3"/>
      <c r="L48" s="3" t="s">
        <v>376</v>
      </c>
      <c r="M48" s="3" t="s">
        <v>387</v>
      </c>
      <c r="N48" s="3" t="s">
        <v>388</v>
      </c>
      <c r="O48" s="4" t="s">
        <v>63</v>
      </c>
      <c r="P48" s="4" t="s">
        <v>64</v>
      </c>
      <c r="Q48" s="3" t="s">
        <v>65</v>
      </c>
      <c r="R48" s="3" t="s">
        <v>87</v>
      </c>
      <c r="S48" s="3" t="s">
        <v>67</v>
      </c>
      <c r="T48" s="3" t="s">
        <v>68</v>
      </c>
      <c r="U48" s="3" t="s">
        <v>69</v>
      </c>
      <c r="V48" s="5" t="s">
        <v>1072</v>
      </c>
      <c r="W48" s="5"/>
      <c r="X48" s="5"/>
      <c r="Y48" s="5" t="s">
        <v>70</v>
      </c>
      <c r="Z48" s="5" t="s">
        <v>70</v>
      </c>
      <c r="AA48" s="5"/>
      <c r="AB48" s="5"/>
      <c r="AC48" s="5"/>
      <c r="AD48" s="5"/>
      <c r="AE48" s="5"/>
      <c r="AF48" s="5"/>
      <c r="AG48" s="5"/>
      <c r="AH48" s="5"/>
    </row>
    <row r="49" spans="1:34" ht="172.8" x14ac:dyDescent="0.3">
      <c r="A49" s="3">
        <v>48</v>
      </c>
      <c r="B49" s="3" t="s">
        <v>53</v>
      </c>
      <c r="C49" s="3" t="s">
        <v>389</v>
      </c>
      <c r="D49" s="3" t="s">
        <v>390</v>
      </c>
      <c r="E49" s="3" t="s">
        <v>344</v>
      </c>
      <c r="F49" s="3" t="s">
        <v>359</v>
      </c>
      <c r="G49" s="3" t="s">
        <v>327</v>
      </c>
      <c r="H49" s="3" t="s">
        <v>59</v>
      </c>
      <c r="I49" s="3" t="s">
        <v>59</v>
      </c>
      <c r="J49" s="3" t="s">
        <v>347</v>
      </c>
      <c r="K49" s="3"/>
      <c r="L49" s="3" t="s">
        <v>376</v>
      </c>
      <c r="M49" s="3" t="s">
        <v>391</v>
      </c>
      <c r="N49" s="3" t="s">
        <v>392</v>
      </c>
      <c r="O49" s="4" t="s">
        <v>63</v>
      </c>
      <c r="P49" s="4" t="s">
        <v>64</v>
      </c>
      <c r="Q49" s="3" t="s">
        <v>65</v>
      </c>
      <c r="R49" s="3" t="s">
        <v>87</v>
      </c>
      <c r="S49" s="3" t="s">
        <v>67</v>
      </c>
      <c r="T49" s="3" t="s">
        <v>68</v>
      </c>
      <c r="U49" s="3" t="s">
        <v>69</v>
      </c>
      <c r="V49" s="5" t="s">
        <v>1072</v>
      </c>
      <c r="W49" s="5"/>
      <c r="X49" s="5"/>
      <c r="Y49" s="5" t="s">
        <v>70</v>
      </c>
      <c r="Z49" s="5" t="s">
        <v>70</v>
      </c>
      <c r="AA49" s="5"/>
      <c r="AB49" s="5"/>
      <c r="AC49" s="5"/>
      <c r="AD49" s="5"/>
      <c r="AE49" s="5"/>
      <c r="AF49" s="5"/>
      <c r="AG49" s="5"/>
      <c r="AH49" s="5"/>
    </row>
    <row r="50" spans="1:34" ht="172.8" x14ac:dyDescent="0.3">
      <c r="A50" s="3">
        <v>49</v>
      </c>
      <c r="B50" s="3" t="s">
        <v>53</v>
      </c>
      <c r="C50" s="3" t="s">
        <v>393</v>
      </c>
      <c r="D50" s="3" t="s">
        <v>394</v>
      </c>
      <c r="E50" s="3" t="s">
        <v>344</v>
      </c>
      <c r="F50" s="3" t="s">
        <v>359</v>
      </c>
      <c r="G50" s="3" t="s">
        <v>346</v>
      </c>
      <c r="H50" s="3" t="s">
        <v>59</v>
      </c>
      <c r="I50" s="3" t="s">
        <v>59</v>
      </c>
      <c r="J50" s="3" t="s">
        <v>366</v>
      </c>
      <c r="K50" s="3"/>
      <c r="L50" s="3" t="s">
        <v>361</v>
      </c>
      <c r="M50" s="3" t="s">
        <v>395</v>
      </c>
      <c r="N50" s="3" t="s">
        <v>396</v>
      </c>
      <c r="O50" s="4" t="s">
        <v>63</v>
      </c>
      <c r="P50" s="4" t="s">
        <v>64</v>
      </c>
      <c r="Q50" s="3" t="s">
        <v>65</v>
      </c>
      <c r="R50" s="3" t="s">
        <v>87</v>
      </c>
      <c r="S50" s="3" t="s">
        <v>67</v>
      </c>
      <c r="T50" s="3" t="s">
        <v>68</v>
      </c>
      <c r="U50" s="3" t="s">
        <v>69</v>
      </c>
      <c r="V50" s="5" t="s">
        <v>1072</v>
      </c>
      <c r="W50" s="5"/>
      <c r="X50" s="5"/>
      <c r="Y50" s="5" t="s">
        <v>70</v>
      </c>
      <c r="Z50" s="5" t="s">
        <v>70</v>
      </c>
      <c r="AA50" s="5"/>
      <c r="AB50" s="5"/>
      <c r="AC50" s="5"/>
      <c r="AD50" s="5"/>
      <c r="AE50" s="5"/>
      <c r="AF50" s="5"/>
      <c r="AG50" s="5"/>
      <c r="AH50" s="5"/>
    </row>
    <row r="51" spans="1:34" ht="172.8" x14ac:dyDescent="0.3">
      <c r="A51" s="3">
        <v>50</v>
      </c>
      <c r="B51" s="3" t="s">
        <v>53</v>
      </c>
      <c r="C51" s="3" t="s">
        <v>397</v>
      </c>
      <c r="D51" s="3" t="s">
        <v>398</v>
      </c>
      <c r="E51" s="3" t="s">
        <v>344</v>
      </c>
      <c r="F51" s="3" t="s">
        <v>359</v>
      </c>
      <c r="G51" s="3" t="s">
        <v>346</v>
      </c>
      <c r="H51" s="3" t="s">
        <v>59</v>
      </c>
      <c r="I51" s="3" t="s">
        <v>59</v>
      </c>
      <c r="J51" s="3" t="s">
        <v>366</v>
      </c>
      <c r="K51" s="3"/>
      <c r="L51" s="3" t="s">
        <v>399</v>
      </c>
      <c r="M51" s="3" t="s">
        <v>400</v>
      </c>
      <c r="N51" s="3" t="s">
        <v>401</v>
      </c>
      <c r="O51" s="4" t="s">
        <v>63</v>
      </c>
      <c r="P51" s="4" t="s">
        <v>64</v>
      </c>
      <c r="Q51" s="3" t="s">
        <v>65</v>
      </c>
      <c r="R51" s="3" t="s">
        <v>87</v>
      </c>
      <c r="S51" s="3" t="s">
        <v>67</v>
      </c>
      <c r="T51" s="3" t="s">
        <v>68</v>
      </c>
      <c r="U51" s="3" t="s">
        <v>69</v>
      </c>
      <c r="V51" s="5" t="s">
        <v>1072</v>
      </c>
      <c r="W51" s="5"/>
      <c r="X51" s="5"/>
      <c r="Y51" s="5" t="s">
        <v>70</v>
      </c>
      <c r="Z51" s="5" t="s">
        <v>70</v>
      </c>
      <c r="AA51" s="5"/>
      <c r="AB51" s="5"/>
      <c r="AC51" s="5"/>
      <c r="AD51" s="5"/>
      <c r="AE51" s="5"/>
      <c r="AF51" s="5"/>
      <c r="AG51" s="5"/>
      <c r="AH51" s="5"/>
    </row>
    <row r="52" spans="1:34" ht="172.8" x14ac:dyDescent="0.3">
      <c r="A52" s="3">
        <v>51</v>
      </c>
      <c r="B52" s="3" t="s">
        <v>53</v>
      </c>
      <c r="C52" s="3" t="s">
        <v>402</v>
      </c>
      <c r="D52" s="3" t="s">
        <v>403</v>
      </c>
      <c r="E52" s="3" t="s">
        <v>344</v>
      </c>
      <c r="F52" s="3" t="s">
        <v>359</v>
      </c>
      <c r="G52" s="3" t="s">
        <v>327</v>
      </c>
      <c r="H52" s="3" t="s">
        <v>59</v>
      </c>
      <c r="I52" s="3" t="s">
        <v>59</v>
      </c>
      <c r="J52" s="3" t="s">
        <v>386</v>
      </c>
      <c r="K52" s="3"/>
      <c r="L52" s="3" t="s">
        <v>376</v>
      </c>
      <c r="M52" s="3" t="s">
        <v>404</v>
      </c>
      <c r="N52" s="3" t="s">
        <v>405</v>
      </c>
      <c r="O52" s="4" t="s">
        <v>63</v>
      </c>
      <c r="P52" s="4" t="s">
        <v>64</v>
      </c>
      <c r="Q52" s="3" t="s">
        <v>65</v>
      </c>
      <c r="R52" s="3" t="s">
        <v>87</v>
      </c>
      <c r="S52" s="3" t="s">
        <v>67</v>
      </c>
      <c r="T52" s="3" t="s">
        <v>68</v>
      </c>
      <c r="U52" s="3" t="s">
        <v>69</v>
      </c>
      <c r="V52" s="5" t="s">
        <v>1072</v>
      </c>
      <c r="W52" s="5"/>
      <c r="X52" s="5"/>
      <c r="Y52" s="5" t="s">
        <v>70</v>
      </c>
      <c r="Z52" s="5" t="s">
        <v>70</v>
      </c>
      <c r="AA52" s="5"/>
      <c r="AB52" s="5"/>
      <c r="AC52" s="5"/>
      <c r="AD52" s="5"/>
      <c r="AE52" s="5"/>
      <c r="AF52" s="5"/>
      <c r="AG52" s="5"/>
      <c r="AH52" s="5"/>
    </row>
    <row r="53" spans="1:34" ht="86.4" x14ac:dyDescent="0.3">
      <c r="A53" s="3">
        <v>52</v>
      </c>
      <c r="B53" s="3" t="s">
        <v>53</v>
      </c>
      <c r="C53" s="3" t="s">
        <v>406</v>
      </c>
      <c r="D53" s="3" t="s">
        <v>407</v>
      </c>
      <c r="E53" s="3" t="s">
        <v>408</v>
      </c>
      <c r="F53" s="3" t="s">
        <v>57</v>
      </c>
      <c r="G53" s="3" t="s">
        <v>409</v>
      </c>
      <c r="H53" s="3" t="s">
        <v>59</v>
      </c>
      <c r="I53" s="3" t="s">
        <v>59</v>
      </c>
      <c r="J53" s="3" t="s">
        <v>410</v>
      </c>
      <c r="K53" s="3"/>
      <c r="L53" s="3" t="s">
        <v>411</v>
      </c>
      <c r="M53" s="3" t="s">
        <v>412</v>
      </c>
      <c r="N53" s="3" t="s">
        <v>413</v>
      </c>
      <c r="O53" s="4" t="s">
        <v>63</v>
      </c>
      <c r="P53" s="4" t="s">
        <v>64</v>
      </c>
      <c r="Q53" s="3" t="s">
        <v>65</v>
      </c>
      <c r="R53" s="3" t="s">
        <v>414</v>
      </c>
      <c r="S53" s="3" t="s">
        <v>67</v>
      </c>
      <c r="T53" s="3" t="s">
        <v>68</v>
      </c>
      <c r="U53" s="3" t="s">
        <v>69</v>
      </c>
      <c r="V53" s="5" t="s">
        <v>1072</v>
      </c>
      <c r="W53" s="5"/>
      <c r="X53" s="5"/>
      <c r="Y53" s="5" t="s">
        <v>70</v>
      </c>
      <c r="Z53" s="5" t="s">
        <v>70</v>
      </c>
      <c r="AA53" s="5"/>
      <c r="AB53" s="5"/>
      <c r="AC53" s="5"/>
      <c r="AD53" s="5"/>
      <c r="AE53" s="5"/>
      <c r="AF53" s="5"/>
      <c r="AG53" s="5"/>
      <c r="AH53" s="5"/>
    </row>
    <row r="54" spans="1:34" ht="86.4" x14ac:dyDescent="0.3">
      <c r="A54" s="3">
        <v>53</v>
      </c>
      <c r="B54" s="3" t="s">
        <v>53</v>
      </c>
      <c r="C54" s="3" t="s">
        <v>415</v>
      </c>
      <c r="D54" s="3" t="s">
        <v>416</v>
      </c>
      <c r="E54" s="3" t="s">
        <v>417</v>
      </c>
      <c r="F54" s="3" t="s">
        <v>418</v>
      </c>
      <c r="G54" s="3" t="s">
        <v>299</v>
      </c>
      <c r="H54" s="3" t="s">
        <v>59</v>
      </c>
      <c r="I54" s="3" t="s">
        <v>59</v>
      </c>
      <c r="J54" s="3" t="s">
        <v>419</v>
      </c>
      <c r="K54" s="3"/>
      <c r="L54" s="3" t="s">
        <v>420</v>
      </c>
      <c r="M54" s="3" t="s">
        <v>421</v>
      </c>
      <c r="N54" s="3" t="s">
        <v>422</v>
      </c>
      <c r="O54" s="4" t="s">
        <v>63</v>
      </c>
      <c r="P54" s="4" t="s">
        <v>64</v>
      </c>
      <c r="Q54" s="3" t="s">
        <v>65</v>
      </c>
      <c r="R54" s="3" t="s">
        <v>248</v>
      </c>
      <c r="S54" s="3" t="s">
        <v>67</v>
      </c>
      <c r="T54" s="3" t="s">
        <v>68</v>
      </c>
      <c r="U54" s="3" t="s">
        <v>69</v>
      </c>
      <c r="V54" s="5" t="s">
        <v>1076</v>
      </c>
      <c r="W54" s="5"/>
      <c r="X54" s="5"/>
      <c r="Y54" s="5" t="s">
        <v>70</v>
      </c>
      <c r="Z54" s="5" t="s">
        <v>70</v>
      </c>
      <c r="AA54" s="5"/>
      <c r="AB54" s="5"/>
      <c r="AC54" s="5"/>
      <c r="AD54" s="5"/>
      <c r="AE54" s="5"/>
      <c r="AF54" s="5"/>
      <c r="AG54" s="5"/>
      <c r="AH54" s="5"/>
    </row>
    <row r="55" spans="1:34" ht="187.2" x14ac:dyDescent="0.3">
      <c r="A55" s="3">
        <v>54</v>
      </c>
      <c r="B55" s="3" t="s">
        <v>53</v>
      </c>
      <c r="C55" s="3" t="s">
        <v>423</v>
      </c>
      <c r="D55" s="3" t="s">
        <v>424</v>
      </c>
      <c r="E55" s="3" t="s">
        <v>425</v>
      </c>
      <c r="F55" s="3" t="s">
        <v>426</v>
      </c>
      <c r="G55" s="3" t="s">
        <v>381</v>
      </c>
      <c r="H55" s="3" t="s">
        <v>59</v>
      </c>
      <c r="I55" s="3" t="s">
        <v>59</v>
      </c>
      <c r="J55" s="3" t="s">
        <v>427</v>
      </c>
      <c r="K55" s="3"/>
      <c r="L55" s="3" t="s">
        <v>428</v>
      </c>
      <c r="M55" s="3" t="s">
        <v>429</v>
      </c>
      <c r="N55" s="3" t="s">
        <v>430</v>
      </c>
      <c r="O55" s="4" t="s">
        <v>63</v>
      </c>
      <c r="P55" s="4" t="s">
        <v>64</v>
      </c>
      <c r="Q55" s="3" t="s">
        <v>431</v>
      </c>
      <c r="R55" s="3" t="s">
        <v>432</v>
      </c>
      <c r="S55" s="3" t="s">
        <v>67</v>
      </c>
      <c r="T55" s="3" t="s">
        <v>68</v>
      </c>
      <c r="U55" s="3" t="s">
        <v>69</v>
      </c>
      <c r="V55" s="5" t="s">
        <v>1072</v>
      </c>
      <c r="W55" s="5"/>
      <c r="X55" s="5"/>
      <c r="Y55" s="5" t="s">
        <v>70</v>
      </c>
      <c r="Z55" s="5" t="s">
        <v>70</v>
      </c>
      <c r="AA55" s="5"/>
      <c r="AB55" s="5"/>
      <c r="AC55" s="5"/>
      <c r="AD55" s="5"/>
      <c r="AE55" s="5"/>
      <c r="AF55" s="5"/>
      <c r="AG55" s="5"/>
      <c r="AH55" s="5"/>
    </row>
    <row r="56" spans="1:34" ht="43.2" x14ac:dyDescent="0.3">
      <c r="A56" s="3">
        <v>55</v>
      </c>
      <c r="B56" s="3" t="s">
        <v>53</v>
      </c>
      <c r="C56" s="3" t="s">
        <v>433</v>
      </c>
      <c r="D56" s="3" t="s">
        <v>434</v>
      </c>
      <c r="E56" s="3" t="s">
        <v>435</v>
      </c>
      <c r="F56" s="3" t="s">
        <v>436</v>
      </c>
      <c r="G56" s="3" t="s">
        <v>437</v>
      </c>
      <c r="H56" s="3" t="s">
        <v>59</v>
      </c>
      <c r="I56" s="3" t="s">
        <v>59</v>
      </c>
      <c r="J56" s="3" t="s">
        <v>438</v>
      </c>
      <c r="K56" s="3"/>
      <c r="L56" s="3"/>
      <c r="M56" s="3" t="s">
        <v>439</v>
      </c>
      <c r="N56" s="3" t="s">
        <v>440</v>
      </c>
      <c r="O56" s="4" t="s">
        <v>63</v>
      </c>
      <c r="P56" s="4" t="s">
        <v>64</v>
      </c>
      <c r="Q56" s="3" t="s">
        <v>65</v>
      </c>
      <c r="R56" s="3" t="s">
        <v>130</v>
      </c>
      <c r="S56" s="3" t="s">
        <v>67</v>
      </c>
      <c r="T56" s="3" t="s">
        <v>68</v>
      </c>
      <c r="U56" s="3" t="s">
        <v>69</v>
      </c>
      <c r="V56" s="5" t="s">
        <v>1076</v>
      </c>
      <c r="W56" s="5"/>
      <c r="X56" s="5"/>
      <c r="Y56" s="5" t="s">
        <v>70</v>
      </c>
      <c r="Z56" s="5" t="s">
        <v>70</v>
      </c>
      <c r="AA56" s="5"/>
      <c r="AB56" s="5"/>
      <c r="AC56" s="5"/>
      <c r="AD56" s="5"/>
      <c r="AE56" s="5"/>
      <c r="AF56" s="5"/>
      <c r="AG56" s="5"/>
      <c r="AH56" s="5"/>
    </row>
    <row r="57" spans="1:34" ht="43.2" x14ac:dyDescent="0.3">
      <c r="A57" s="3">
        <v>56</v>
      </c>
      <c r="B57" s="3" t="s">
        <v>53</v>
      </c>
      <c r="C57" s="3" t="s">
        <v>441</v>
      </c>
      <c r="D57" s="3" t="s">
        <v>442</v>
      </c>
      <c r="E57" s="3" t="s">
        <v>443</v>
      </c>
      <c r="F57" s="3" t="s">
        <v>444</v>
      </c>
      <c r="G57" s="3" t="s">
        <v>264</v>
      </c>
      <c r="H57" s="3" t="s">
        <v>59</v>
      </c>
      <c r="I57" s="3" t="s">
        <v>59</v>
      </c>
      <c r="J57" s="3" t="s">
        <v>445</v>
      </c>
      <c r="K57" s="3"/>
      <c r="L57" s="3"/>
      <c r="M57" s="3" t="s">
        <v>446</v>
      </c>
      <c r="N57" s="3" t="s">
        <v>447</v>
      </c>
      <c r="O57" s="4" t="s">
        <v>63</v>
      </c>
      <c r="P57" s="4" t="s">
        <v>64</v>
      </c>
      <c r="Q57" s="3" t="s">
        <v>268</v>
      </c>
      <c r="R57" s="3" t="s">
        <v>130</v>
      </c>
      <c r="S57" s="3" t="s">
        <v>67</v>
      </c>
      <c r="T57" s="3" t="s">
        <v>68</v>
      </c>
      <c r="U57" s="3" t="s">
        <v>69</v>
      </c>
      <c r="V57" s="5" t="s">
        <v>1073</v>
      </c>
      <c r="W57" s="5"/>
      <c r="X57" s="5"/>
      <c r="Y57" s="5" t="s">
        <v>70</v>
      </c>
      <c r="Z57" s="5" t="s">
        <v>70</v>
      </c>
      <c r="AA57" s="5"/>
      <c r="AB57" s="5"/>
      <c r="AC57" s="5"/>
      <c r="AD57" s="5"/>
      <c r="AE57" s="5"/>
      <c r="AF57" s="5"/>
      <c r="AG57" s="5"/>
      <c r="AH57" s="5"/>
    </row>
    <row r="58" spans="1:34" ht="43.2" x14ac:dyDescent="0.3">
      <c r="A58" s="3">
        <v>57</v>
      </c>
      <c r="B58" s="3" t="s">
        <v>53</v>
      </c>
      <c r="C58" s="3" t="s">
        <v>448</v>
      </c>
      <c r="D58" s="3" t="s">
        <v>449</v>
      </c>
      <c r="E58" s="3" t="s">
        <v>450</v>
      </c>
      <c r="F58" s="3" t="s">
        <v>444</v>
      </c>
      <c r="G58" s="3" t="s">
        <v>451</v>
      </c>
      <c r="H58" s="3" t="s">
        <v>59</v>
      </c>
      <c r="I58" s="3" t="s">
        <v>59</v>
      </c>
      <c r="J58" s="3" t="s">
        <v>452</v>
      </c>
      <c r="K58" s="3"/>
      <c r="L58" s="3"/>
      <c r="M58" s="3" t="s">
        <v>453</v>
      </c>
      <c r="N58" s="3" t="s">
        <v>454</v>
      </c>
      <c r="O58" s="4" t="s">
        <v>63</v>
      </c>
      <c r="P58" s="4" t="s">
        <v>64</v>
      </c>
      <c r="Q58" s="3" t="s">
        <v>268</v>
      </c>
      <c r="R58" s="3" t="s">
        <v>455</v>
      </c>
      <c r="S58" s="3" t="s">
        <v>67</v>
      </c>
      <c r="T58" s="3" t="s">
        <v>68</v>
      </c>
      <c r="U58" s="3" t="s">
        <v>69</v>
      </c>
      <c r="V58" s="5" t="s">
        <v>1072</v>
      </c>
      <c r="W58" s="5"/>
      <c r="X58" s="5"/>
      <c r="Y58" s="5" t="s">
        <v>70</v>
      </c>
      <c r="Z58" s="5" t="s">
        <v>70</v>
      </c>
      <c r="AA58" s="5"/>
      <c r="AB58" s="5"/>
      <c r="AC58" s="5"/>
      <c r="AD58" s="5"/>
      <c r="AE58" s="5"/>
      <c r="AF58" s="5"/>
      <c r="AG58" s="5"/>
      <c r="AH58" s="5"/>
    </row>
    <row r="59" spans="1:34" ht="172.8" x14ac:dyDescent="0.3">
      <c r="A59" s="3">
        <v>58</v>
      </c>
      <c r="B59" s="3" t="s">
        <v>53</v>
      </c>
      <c r="C59" s="3" t="s">
        <v>456</v>
      </c>
      <c r="D59" s="3" t="s">
        <v>457</v>
      </c>
      <c r="E59" s="3" t="s">
        <v>336</v>
      </c>
      <c r="F59" s="3" t="s">
        <v>458</v>
      </c>
      <c r="G59" s="3" t="s">
        <v>459</v>
      </c>
      <c r="H59" s="3" t="s">
        <v>59</v>
      </c>
      <c r="I59" s="3" t="s">
        <v>59</v>
      </c>
      <c r="J59" s="3" t="s">
        <v>460</v>
      </c>
      <c r="K59" s="3"/>
      <c r="L59" s="3" t="s">
        <v>461</v>
      </c>
      <c r="M59" s="3" t="s">
        <v>462</v>
      </c>
      <c r="N59" s="3" t="s">
        <v>463</v>
      </c>
      <c r="O59" s="4" t="s">
        <v>63</v>
      </c>
      <c r="P59" s="4" t="s">
        <v>64</v>
      </c>
      <c r="Q59" s="3" t="s">
        <v>65</v>
      </c>
      <c r="R59" s="3" t="s">
        <v>464</v>
      </c>
      <c r="S59" s="3" t="s">
        <v>67</v>
      </c>
      <c r="T59" s="3" t="s">
        <v>68</v>
      </c>
      <c r="U59" s="3" t="s">
        <v>69</v>
      </c>
      <c r="V59" s="5" t="s">
        <v>1072</v>
      </c>
      <c r="W59" s="5"/>
      <c r="X59" s="5"/>
      <c r="Y59" s="5" t="s">
        <v>70</v>
      </c>
      <c r="Z59" s="5" t="s">
        <v>70</v>
      </c>
      <c r="AA59" s="5"/>
      <c r="AB59" s="5"/>
      <c r="AC59" s="5"/>
      <c r="AD59" s="5"/>
      <c r="AE59" s="5"/>
      <c r="AF59" s="5"/>
      <c r="AG59" s="5"/>
      <c r="AH59" s="5"/>
    </row>
    <row r="60" spans="1:34" ht="129.6" x14ac:dyDescent="0.3">
      <c r="A60" s="3">
        <v>59</v>
      </c>
      <c r="B60" s="3" t="s">
        <v>53</v>
      </c>
      <c r="C60" s="3" t="s">
        <v>465</v>
      </c>
      <c r="D60" s="3" t="s">
        <v>466</v>
      </c>
      <c r="E60" s="3" t="s">
        <v>325</v>
      </c>
      <c r="F60" s="3" t="s">
        <v>458</v>
      </c>
      <c r="G60" s="3" t="s">
        <v>459</v>
      </c>
      <c r="H60" s="3" t="s">
        <v>59</v>
      </c>
      <c r="I60" s="3" t="s">
        <v>59</v>
      </c>
      <c r="J60" s="3" t="s">
        <v>467</v>
      </c>
      <c r="K60" s="3"/>
      <c r="L60" s="3" t="s">
        <v>468</v>
      </c>
      <c r="M60" s="3" t="s">
        <v>469</v>
      </c>
      <c r="N60" s="3" t="s">
        <v>470</v>
      </c>
      <c r="O60" s="4" t="s">
        <v>63</v>
      </c>
      <c r="P60" s="4" t="s">
        <v>64</v>
      </c>
      <c r="Q60" s="3" t="s">
        <v>471</v>
      </c>
      <c r="R60" s="3" t="s">
        <v>472</v>
      </c>
      <c r="S60" s="3" t="s">
        <v>67</v>
      </c>
      <c r="T60" s="3" t="s">
        <v>68</v>
      </c>
      <c r="U60" s="3" t="s">
        <v>69</v>
      </c>
      <c r="V60" s="5" t="s">
        <v>1072</v>
      </c>
      <c r="W60" s="5"/>
      <c r="X60" s="5"/>
      <c r="Y60" s="5" t="s">
        <v>70</v>
      </c>
      <c r="Z60" s="5" t="s">
        <v>70</v>
      </c>
      <c r="AA60" s="5"/>
      <c r="AB60" s="5"/>
      <c r="AC60" s="5"/>
      <c r="AD60" s="5"/>
      <c r="AE60" s="5"/>
      <c r="AF60" s="5"/>
      <c r="AG60" s="5"/>
      <c r="AH60" s="5"/>
    </row>
    <row r="61" spans="1:34" ht="100.8" x14ac:dyDescent="0.3">
      <c r="A61" s="3">
        <v>60</v>
      </c>
      <c r="B61" s="3" t="s">
        <v>53</v>
      </c>
      <c r="C61" s="3" t="s">
        <v>473</v>
      </c>
      <c r="D61" s="3" t="s">
        <v>474</v>
      </c>
      <c r="E61" s="3" t="s">
        <v>475</v>
      </c>
      <c r="F61" s="3" t="s">
        <v>57</v>
      </c>
      <c r="G61" s="3" t="s">
        <v>409</v>
      </c>
      <c r="H61" s="3" t="s">
        <v>59</v>
      </c>
      <c r="I61" s="3" t="s">
        <v>59</v>
      </c>
      <c r="J61" s="3" t="s">
        <v>476</v>
      </c>
      <c r="K61" s="3"/>
      <c r="L61" s="3" t="s">
        <v>477</v>
      </c>
      <c r="M61" s="3" t="s">
        <v>478</v>
      </c>
      <c r="N61" s="3" t="s">
        <v>479</v>
      </c>
      <c r="O61" s="4" t="s">
        <v>63</v>
      </c>
      <c r="P61" s="4" t="s">
        <v>64</v>
      </c>
      <c r="Q61" s="3" t="s">
        <v>65</v>
      </c>
      <c r="R61" s="3" t="s">
        <v>480</v>
      </c>
      <c r="S61" s="3" t="s">
        <v>67</v>
      </c>
      <c r="T61" s="3" t="s">
        <v>68</v>
      </c>
      <c r="U61" s="3" t="s">
        <v>69</v>
      </c>
      <c r="V61" s="5" t="s">
        <v>1072</v>
      </c>
      <c r="W61" s="5"/>
      <c r="X61" s="5"/>
      <c r="Y61" s="5" t="s">
        <v>70</v>
      </c>
      <c r="Z61" s="5" t="s">
        <v>70</v>
      </c>
      <c r="AA61" s="5"/>
      <c r="AB61" s="5"/>
      <c r="AC61" s="5"/>
      <c r="AD61" s="5"/>
      <c r="AE61" s="5"/>
      <c r="AF61" s="5"/>
      <c r="AG61" s="5"/>
      <c r="AH61" s="5"/>
    </row>
    <row r="62" spans="1:34" ht="43.2" x14ac:dyDescent="0.3">
      <c r="A62" s="3">
        <v>61</v>
      </c>
      <c r="B62" s="3" t="s">
        <v>53</v>
      </c>
      <c r="C62" s="3" t="s">
        <v>481</v>
      </c>
      <c r="D62" s="3" t="s">
        <v>482</v>
      </c>
      <c r="E62" s="3" t="s">
        <v>450</v>
      </c>
      <c r="F62" s="3" t="s">
        <v>263</v>
      </c>
      <c r="G62" s="3" t="s">
        <v>483</v>
      </c>
      <c r="H62" s="3" t="s">
        <v>59</v>
      </c>
      <c r="I62" s="3" t="s">
        <v>59</v>
      </c>
      <c r="J62" s="3" t="s">
        <v>452</v>
      </c>
      <c r="K62" s="3"/>
      <c r="L62" s="3"/>
      <c r="M62" s="3" t="s">
        <v>484</v>
      </c>
      <c r="N62" s="3" t="s">
        <v>485</v>
      </c>
      <c r="O62" s="4" t="s">
        <v>63</v>
      </c>
      <c r="P62" s="4" t="s">
        <v>64</v>
      </c>
      <c r="Q62" s="3" t="s">
        <v>268</v>
      </c>
      <c r="R62" s="3" t="s">
        <v>455</v>
      </c>
      <c r="S62" s="3" t="s">
        <v>67</v>
      </c>
      <c r="T62" s="3" t="s">
        <v>68</v>
      </c>
      <c r="U62" s="3" t="s">
        <v>69</v>
      </c>
      <c r="V62" s="5" t="s">
        <v>1072</v>
      </c>
      <c r="W62" s="5"/>
      <c r="X62" s="5"/>
      <c r="Y62" s="5" t="s">
        <v>70</v>
      </c>
      <c r="Z62" s="5" t="s">
        <v>70</v>
      </c>
      <c r="AA62" s="5"/>
      <c r="AB62" s="5"/>
      <c r="AC62" s="5"/>
      <c r="AD62" s="5"/>
      <c r="AE62" s="5"/>
      <c r="AF62" s="5"/>
      <c r="AG62" s="5"/>
      <c r="AH62" s="5"/>
    </row>
    <row r="63" spans="1:34" ht="57.6" x14ac:dyDescent="0.3">
      <c r="A63" s="3">
        <v>62</v>
      </c>
      <c r="B63" s="3" t="s">
        <v>53</v>
      </c>
      <c r="C63" s="3" t="s">
        <v>486</v>
      </c>
      <c r="D63" s="3" t="s">
        <v>487</v>
      </c>
      <c r="E63" s="3" t="s">
        <v>443</v>
      </c>
      <c r="F63" s="3" t="s">
        <v>488</v>
      </c>
      <c r="G63" s="3" t="s">
        <v>264</v>
      </c>
      <c r="H63" s="3" t="s">
        <v>59</v>
      </c>
      <c r="I63" s="3" t="s">
        <v>59</v>
      </c>
      <c r="J63" s="3" t="s">
        <v>489</v>
      </c>
      <c r="K63" s="3"/>
      <c r="L63" s="3"/>
      <c r="M63" s="3" t="s">
        <v>490</v>
      </c>
      <c r="N63" s="3" t="s">
        <v>491</v>
      </c>
      <c r="O63" s="4" t="s">
        <v>63</v>
      </c>
      <c r="P63" s="4" t="s">
        <v>64</v>
      </c>
      <c r="Q63" s="3" t="s">
        <v>492</v>
      </c>
      <c r="R63" s="3" t="s">
        <v>130</v>
      </c>
      <c r="S63" s="3" t="s">
        <v>67</v>
      </c>
      <c r="T63" s="3" t="s">
        <v>68</v>
      </c>
      <c r="U63" s="3" t="s">
        <v>69</v>
      </c>
      <c r="V63" s="5" t="s">
        <v>1073</v>
      </c>
      <c r="W63" s="5"/>
      <c r="X63" s="5"/>
      <c r="Y63" s="5" t="s">
        <v>70</v>
      </c>
      <c r="Z63" s="5" t="s">
        <v>70</v>
      </c>
      <c r="AA63" s="5"/>
      <c r="AB63" s="5"/>
      <c r="AC63" s="5"/>
      <c r="AD63" s="5"/>
      <c r="AE63" s="5"/>
      <c r="AF63" s="5"/>
      <c r="AG63" s="5"/>
      <c r="AH63" s="5"/>
    </row>
    <row r="64" spans="1:34" ht="43.2" x14ac:dyDescent="0.3">
      <c r="A64" s="3">
        <v>63</v>
      </c>
      <c r="B64" s="3" t="s">
        <v>53</v>
      </c>
      <c r="C64" s="3" t="s">
        <v>493</v>
      </c>
      <c r="D64" s="3" t="s">
        <v>494</v>
      </c>
      <c r="E64" s="3" t="s">
        <v>495</v>
      </c>
      <c r="F64" s="3" t="s">
        <v>496</v>
      </c>
      <c r="G64" s="3" t="s">
        <v>497</v>
      </c>
      <c r="H64" s="3" t="s">
        <v>498</v>
      </c>
      <c r="I64" s="3" t="s">
        <v>498</v>
      </c>
      <c r="J64" s="3" t="s">
        <v>499</v>
      </c>
      <c r="K64" s="3"/>
      <c r="L64" s="3"/>
      <c r="M64" s="3" t="s">
        <v>500</v>
      </c>
      <c r="N64" s="3" t="s">
        <v>501</v>
      </c>
      <c r="O64" s="4" t="s">
        <v>63</v>
      </c>
      <c r="P64" s="4" t="s">
        <v>64</v>
      </c>
      <c r="Q64" s="3" t="s">
        <v>502</v>
      </c>
      <c r="R64" s="3" t="s">
        <v>503</v>
      </c>
      <c r="S64" s="3" t="s">
        <v>67</v>
      </c>
      <c r="T64" s="3" t="s">
        <v>68</v>
      </c>
      <c r="U64" s="3" t="s">
        <v>69</v>
      </c>
      <c r="V64" s="5" t="s">
        <v>1076</v>
      </c>
      <c r="W64" s="5"/>
      <c r="X64" s="5"/>
      <c r="Y64" s="5" t="s">
        <v>70</v>
      </c>
      <c r="Z64" s="5" t="s">
        <v>70</v>
      </c>
      <c r="AA64" s="5"/>
      <c r="AB64" s="5"/>
      <c r="AC64" s="5"/>
      <c r="AD64" s="5"/>
      <c r="AE64" s="5"/>
      <c r="AF64" s="5"/>
      <c r="AG64" s="5"/>
      <c r="AH64" s="5"/>
    </row>
    <row r="65" spans="1:34" ht="43.2" x14ac:dyDescent="0.3">
      <c r="A65" s="3">
        <v>64</v>
      </c>
      <c r="B65" s="3" t="s">
        <v>53</v>
      </c>
      <c r="C65" s="3" t="s">
        <v>504</v>
      </c>
      <c r="D65" s="3" t="s">
        <v>505</v>
      </c>
      <c r="E65" s="3" t="s">
        <v>506</v>
      </c>
      <c r="F65" s="3" t="s">
        <v>496</v>
      </c>
      <c r="G65" s="3" t="s">
        <v>497</v>
      </c>
      <c r="H65" s="3" t="s">
        <v>498</v>
      </c>
      <c r="I65" s="3" t="s">
        <v>498</v>
      </c>
      <c r="J65" s="3" t="s">
        <v>507</v>
      </c>
      <c r="K65" s="3"/>
      <c r="L65" s="3"/>
      <c r="M65" s="3" t="s">
        <v>508</v>
      </c>
      <c r="N65" s="3" t="s">
        <v>509</v>
      </c>
      <c r="O65" s="4" t="s">
        <v>63</v>
      </c>
      <c r="P65" s="4" t="s">
        <v>64</v>
      </c>
      <c r="Q65" s="3" t="s">
        <v>502</v>
      </c>
      <c r="R65" s="3" t="s">
        <v>510</v>
      </c>
      <c r="S65" s="3" t="s">
        <v>67</v>
      </c>
      <c r="T65" s="3" t="s">
        <v>68</v>
      </c>
      <c r="U65" s="3" t="s">
        <v>69</v>
      </c>
      <c r="V65" s="5" t="s">
        <v>1076</v>
      </c>
      <c r="W65" s="5"/>
      <c r="X65" s="5"/>
      <c r="Y65" s="5" t="s">
        <v>70</v>
      </c>
      <c r="Z65" s="5" t="s">
        <v>70</v>
      </c>
      <c r="AA65" s="5"/>
      <c r="AB65" s="5"/>
      <c r="AC65" s="5"/>
      <c r="AD65" s="5"/>
      <c r="AE65" s="5"/>
      <c r="AF65" s="5"/>
      <c r="AG65" s="5"/>
      <c r="AH65" s="5"/>
    </row>
    <row r="66" spans="1:34" ht="43.2" x14ac:dyDescent="0.3">
      <c r="A66" s="3">
        <v>65</v>
      </c>
      <c r="B66" s="3" t="s">
        <v>53</v>
      </c>
      <c r="C66" s="3" t="s">
        <v>511</v>
      </c>
      <c r="D66" s="3" t="s">
        <v>512</v>
      </c>
      <c r="E66" s="3" t="s">
        <v>506</v>
      </c>
      <c r="F66" s="3" t="s">
        <v>496</v>
      </c>
      <c r="G66" s="3" t="s">
        <v>497</v>
      </c>
      <c r="H66" s="3" t="s">
        <v>498</v>
      </c>
      <c r="I66" s="3" t="s">
        <v>498</v>
      </c>
      <c r="J66" s="3" t="s">
        <v>507</v>
      </c>
      <c r="K66" s="3"/>
      <c r="L66" s="3"/>
      <c r="M66" s="3" t="s">
        <v>513</v>
      </c>
      <c r="N66" s="3" t="s">
        <v>514</v>
      </c>
      <c r="O66" s="4" t="s">
        <v>63</v>
      </c>
      <c r="P66" s="4" t="s">
        <v>64</v>
      </c>
      <c r="Q66" s="3" t="s">
        <v>502</v>
      </c>
      <c r="R66" s="3" t="s">
        <v>510</v>
      </c>
      <c r="S66" s="3" t="s">
        <v>67</v>
      </c>
      <c r="T66" s="3" t="s">
        <v>68</v>
      </c>
      <c r="U66" s="3" t="s">
        <v>69</v>
      </c>
      <c r="V66" s="5" t="s">
        <v>1076</v>
      </c>
      <c r="W66" s="5"/>
      <c r="X66" s="5"/>
      <c r="Y66" s="5" t="s">
        <v>70</v>
      </c>
      <c r="Z66" s="5" t="s">
        <v>70</v>
      </c>
      <c r="AA66" s="5"/>
      <c r="AB66" s="5"/>
      <c r="AC66" s="5"/>
      <c r="AD66" s="5"/>
      <c r="AE66" s="5"/>
      <c r="AF66" s="5"/>
      <c r="AG66" s="5"/>
      <c r="AH66" s="5"/>
    </row>
    <row r="67" spans="1:34" ht="43.2" x14ac:dyDescent="0.3">
      <c r="A67" s="3">
        <v>66</v>
      </c>
      <c r="B67" s="3" t="s">
        <v>53</v>
      </c>
      <c r="C67" s="3" t="s">
        <v>515</v>
      </c>
      <c r="D67" s="3" t="s">
        <v>516</v>
      </c>
      <c r="E67" s="3" t="s">
        <v>506</v>
      </c>
      <c r="F67" s="3" t="s">
        <v>496</v>
      </c>
      <c r="G67" s="3" t="s">
        <v>497</v>
      </c>
      <c r="H67" s="3" t="s">
        <v>498</v>
      </c>
      <c r="I67" s="3" t="s">
        <v>498</v>
      </c>
      <c r="J67" s="3" t="s">
        <v>517</v>
      </c>
      <c r="K67" s="3"/>
      <c r="L67" s="3"/>
      <c r="M67" s="3" t="s">
        <v>518</v>
      </c>
      <c r="N67" s="3" t="s">
        <v>519</v>
      </c>
      <c r="O67" s="4" t="s">
        <v>63</v>
      </c>
      <c r="P67" s="4" t="s">
        <v>64</v>
      </c>
      <c r="Q67" s="3" t="s">
        <v>502</v>
      </c>
      <c r="R67" s="3" t="s">
        <v>503</v>
      </c>
      <c r="S67" s="3" t="s">
        <v>67</v>
      </c>
      <c r="T67" s="3" t="s">
        <v>68</v>
      </c>
      <c r="U67" s="3" t="s">
        <v>69</v>
      </c>
      <c r="V67" s="5" t="s">
        <v>1076</v>
      </c>
      <c r="W67" s="5"/>
      <c r="X67" s="5"/>
      <c r="Y67" s="5" t="s">
        <v>70</v>
      </c>
      <c r="Z67" s="5" t="s">
        <v>70</v>
      </c>
      <c r="AA67" s="5"/>
      <c r="AB67" s="5"/>
      <c r="AC67" s="5"/>
      <c r="AD67" s="5"/>
      <c r="AE67" s="5"/>
      <c r="AF67" s="5"/>
      <c r="AG67" s="5"/>
      <c r="AH67" s="5"/>
    </row>
    <row r="68" spans="1:34" ht="43.2" x14ac:dyDescent="0.3">
      <c r="A68" s="3">
        <v>67</v>
      </c>
      <c r="B68" s="3" t="s">
        <v>53</v>
      </c>
      <c r="C68" s="3" t="s">
        <v>520</v>
      </c>
      <c r="D68" s="3" t="s">
        <v>521</v>
      </c>
      <c r="E68" s="3" t="s">
        <v>506</v>
      </c>
      <c r="F68" s="3" t="s">
        <v>496</v>
      </c>
      <c r="G68" s="3" t="s">
        <v>497</v>
      </c>
      <c r="H68" s="3" t="s">
        <v>498</v>
      </c>
      <c r="I68" s="3" t="s">
        <v>498</v>
      </c>
      <c r="J68" s="3" t="s">
        <v>507</v>
      </c>
      <c r="K68" s="3"/>
      <c r="L68" s="3"/>
      <c r="M68" s="3" t="s">
        <v>522</v>
      </c>
      <c r="N68" s="3" t="s">
        <v>523</v>
      </c>
      <c r="O68" s="4" t="s">
        <v>63</v>
      </c>
      <c r="P68" s="4" t="s">
        <v>64</v>
      </c>
      <c r="Q68" s="3" t="s">
        <v>502</v>
      </c>
      <c r="R68" s="3" t="s">
        <v>510</v>
      </c>
      <c r="S68" s="3" t="s">
        <v>67</v>
      </c>
      <c r="T68" s="3" t="s">
        <v>68</v>
      </c>
      <c r="U68" s="3" t="s">
        <v>69</v>
      </c>
      <c r="V68" s="5" t="s">
        <v>1076</v>
      </c>
      <c r="W68" s="5"/>
      <c r="X68" s="5"/>
      <c r="Y68" s="5" t="s">
        <v>70</v>
      </c>
      <c r="Z68" s="5" t="s">
        <v>70</v>
      </c>
      <c r="AA68" s="5"/>
      <c r="AB68" s="5"/>
      <c r="AC68" s="5"/>
      <c r="AD68" s="5"/>
      <c r="AE68" s="5"/>
      <c r="AF68" s="5"/>
      <c r="AG68" s="5"/>
      <c r="AH68" s="5"/>
    </row>
    <row r="69" spans="1:34" ht="187.2" x14ac:dyDescent="0.3">
      <c r="A69" s="3">
        <v>68</v>
      </c>
      <c r="B69" s="3" t="s">
        <v>53</v>
      </c>
      <c r="C69" s="3" t="s">
        <v>524</v>
      </c>
      <c r="D69" s="3" t="s">
        <v>525</v>
      </c>
      <c r="E69" s="3" t="s">
        <v>526</v>
      </c>
      <c r="F69" s="3" t="s">
        <v>263</v>
      </c>
      <c r="G69" s="3" t="s">
        <v>483</v>
      </c>
      <c r="H69" s="3" t="s">
        <v>59</v>
      </c>
      <c r="I69" s="3" t="s">
        <v>59</v>
      </c>
      <c r="J69" s="3" t="s">
        <v>527</v>
      </c>
      <c r="K69" s="3"/>
      <c r="L69" s="3" t="s">
        <v>528</v>
      </c>
      <c r="M69" s="3" t="s">
        <v>529</v>
      </c>
      <c r="N69" s="3" t="s">
        <v>530</v>
      </c>
      <c r="O69" s="4" t="s">
        <v>63</v>
      </c>
      <c r="P69" s="4" t="s">
        <v>64</v>
      </c>
      <c r="Q69" s="3" t="s">
        <v>531</v>
      </c>
      <c r="R69" s="3" t="s">
        <v>532</v>
      </c>
      <c r="S69" s="3" t="s">
        <v>67</v>
      </c>
      <c r="T69" s="3" t="s">
        <v>68</v>
      </c>
      <c r="U69" s="3" t="s">
        <v>69</v>
      </c>
      <c r="V69" s="5" t="s">
        <v>1072</v>
      </c>
      <c r="W69" s="5"/>
      <c r="X69" s="5"/>
      <c r="Y69" s="5" t="s">
        <v>70</v>
      </c>
      <c r="Z69" s="5" t="s">
        <v>70</v>
      </c>
      <c r="AA69" s="5"/>
      <c r="AB69" s="5"/>
      <c r="AC69" s="5"/>
      <c r="AD69" s="5"/>
      <c r="AE69" s="5"/>
      <c r="AF69" s="5"/>
      <c r="AG69" s="5"/>
      <c r="AH69" s="5"/>
    </row>
    <row r="70" spans="1:34" ht="43.2" x14ac:dyDescent="0.3">
      <c r="A70" s="3">
        <v>69</v>
      </c>
      <c r="B70" s="3" t="s">
        <v>53</v>
      </c>
      <c r="C70" s="3" t="s">
        <v>533</v>
      </c>
      <c r="D70" s="3" t="s">
        <v>534</v>
      </c>
      <c r="E70" s="3" t="s">
        <v>443</v>
      </c>
      <c r="F70" s="3" t="s">
        <v>535</v>
      </c>
      <c r="G70" s="3" t="s">
        <v>273</v>
      </c>
      <c r="H70" s="3" t="s">
        <v>59</v>
      </c>
      <c r="I70" s="3" t="s">
        <v>59</v>
      </c>
      <c r="J70" s="3" t="s">
        <v>536</v>
      </c>
      <c r="K70" s="3"/>
      <c r="L70" s="3"/>
      <c r="M70" s="3" t="s">
        <v>537</v>
      </c>
      <c r="N70" s="3" t="s">
        <v>538</v>
      </c>
      <c r="O70" s="4" t="s">
        <v>63</v>
      </c>
      <c r="P70" s="4" t="s">
        <v>64</v>
      </c>
      <c r="Q70" s="3" t="s">
        <v>311</v>
      </c>
      <c r="R70" s="3" t="s">
        <v>322</v>
      </c>
      <c r="S70" s="3" t="s">
        <v>67</v>
      </c>
      <c r="T70" s="3" t="s">
        <v>68</v>
      </c>
      <c r="U70" s="3" t="s">
        <v>69</v>
      </c>
      <c r="V70" s="5" t="s">
        <v>1073</v>
      </c>
      <c r="W70" s="5"/>
      <c r="X70" s="5"/>
      <c r="Y70" s="5" t="s">
        <v>70</v>
      </c>
      <c r="Z70" s="5" t="s">
        <v>70</v>
      </c>
      <c r="AA70" s="5"/>
      <c r="AB70" s="5"/>
      <c r="AC70" s="5"/>
      <c r="AD70" s="5"/>
      <c r="AE70" s="5"/>
      <c r="AF70" s="5"/>
      <c r="AG70" s="5"/>
      <c r="AH70" s="5"/>
    </row>
    <row r="71" spans="1:34" ht="43.2" x14ac:dyDescent="0.3">
      <c r="A71" s="3">
        <v>70</v>
      </c>
      <c r="B71" s="3" t="s">
        <v>53</v>
      </c>
      <c r="C71" s="3" t="s">
        <v>539</v>
      </c>
      <c r="D71" s="3" t="s">
        <v>540</v>
      </c>
      <c r="E71" s="3" t="s">
        <v>443</v>
      </c>
      <c r="F71" s="3" t="s">
        <v>263</v>
      </c>
      <c r="G71" s="3" t="s">
        <v>483</v>
      </c>
      <c r="H71" s="3" t="s">
        <v>59</v>
      </c>
      <c r="I71" s="3" t="s">
        <v>59</v>
      </c>
      <c r="J71" s="3" t="s">
        <v>541</v>
      </c>
      <c r="K71" s="3"/>
      <c r="L71" s="3"/>
      <c r="M71" s="3" t="s">
        <v>542</v>
      </c>
      <c r="N71" s="3" t="s">
        <v>543</v>
      </c>
      <c r="O71" s="4" t="s">
        <v>63</v>
      </c>
      <c r="P71" s="4" t="s">
        <v>64</v>
      </c>
      <c r="Q71" s="3" t="s">
        <v>268</v>
      </c>
      <c r="R71" s="3" t="s">
        <v>66</v>
      </c>
      <c r="S71" s="3" t="s">
        <v>67</v>
      </c>
      <c r="T71" s="3" t="s">
        <v>68</v>
      </c>
      <c r="U71" s="3" t="s">
        <v>69</v>
      </c>
      <c r="V71" s="5" t="s">
        <v>1073</v>
      </c>
      <c r="W71" s="5"/>
      <c r="X71" s="5"/>
      <c r="Y71" s="5" t="s">
        <v>70</v>
      </c>
      <c r="Z71" s="5" t="s">
        <v>70</v>
      </c>
      <c r="AA71" s="5"/>
      <c r="AB71" s="5"/>
      <c r="AC71" s="5"/>
      <c r="AD71" s="5"/>
      <c r="AE71" s="5"/>
      <c r="AF71" s="5"/>
      <c r="AG71" s="5"/>
      <c r="AH71" s="5"/>
    </row>
    <row r="72" spans="1:34" ht="100.8" x14ac:dyDescent="0.3">
      <c r="A72" s="3">
        <v>71</v>
      </c>
      <c r="B72" s="3" t="s">
        <v>53</v>
      </c>
      <c r="C72" s="3" t="s">
        <v>544</v>
      </c>
      <c r="D72" s="3" t="s">
        <v>545</v>
      </c>
      <c r="E72" s="3" t="s">
        <v>546</v>
      </c>
      <c r="F72" s="3" t="s">
        <v>547</v>
      </c>
      <c r="G72" s="3" t="s">
        <v>548</v>
      </c>
      <c r="H72" s="3" t="s">
        <v>549</v>
      </c>
      <c r="I72" s="3" t="s">
        <v>549</v>
      </c>
      <c r="J72" s="3" t="s">
        <v>550</v>
      </c>
      <c r="K72" s="3"/>
      <c r="L72" s="3" t="s">
        <v>551</v>
      </c>
      <c r="M72" s="3" t="s">
        <v>552</v>
      </c>
      <c r="N72" s="3" t="s">
        <v>553</v>
      </c>
      <c r="O72" s="4" t="s">
        <v>63</v>
      </c>
      <c r="P72" s="4" t="s">
        <v>64</v>
      </c>
      <c r="Q72" s="3" t="s">
        <v>554</v>
      </c>
      <c r="R72" s="3" t="s">
        <v>555</v>
      </c>
      <c r="S72" s="3" t="s">
        <v>67</v>
      </c>
      <c r="T72" s="3" t="s">
        <v>68</v>
      </c>
      <c r="U72" s="3" t="s">
        <v>69</v>
      </c>
      <c r="V72" s="5" t="s">
        <v>1074</v>
      </c>
      <c r="W72" s="5"/>
      <c r="X72" s="5"/>
      <c r="Y72" s="5" t="s">
        <v>70</v>
      </c>
      <c r="Z72" s="5" t="s">
        <v>70</v>
      </c>
      <c r="AA72" s="5"/>
      <c r="AB72" s="5"/>
      <c r="AC72" s="5"/>
      <c r="AD72" s="5"/>
      <c r="AE72" s="5"/>
      <c r="AF72" s="5"/>
      <c r="AG72" s="5"/>
      <c r="AH72" s="5"/>
    </row>
    <row r="73" spans="1:34" ht="72" x14ac:dyDescent="0.3">
      <c r="A73" s="3">
        <v>72</v>
      </c>
      <c r="B73" s="3" t="s">
        <v>53</v>
      </c>
      <c r="C73" s="3" t="s">
        <v>556</v>
      </c>
      <c r="D73" s="3" t="s">
        <v>557</v>
      </c>
      <c r="E73" s="3" t="s">
        <v>558</v>
      </c>
      <c r="F73" s="3" t="s">
        <v>559</v>
      </c>
      <c r="G73" s="3" t="s">
        <v>560</v>
      </c>
      <c r="H73" s="3" t="s">
        <v>59</v>
      </c>
      <c r="I73" s="3" t="s">
        <v>59</v>
      </c>
      <c r="J73" s="3" t="s">
        <v>561</v>
      </c>
      <c r="K73" s="3"/>
      <c r="L73" s="3" t="s">
        <v>562</v>
      </c>
      <c r="M73" s="3" t="s">
        <v>563</v>
      </c>
      <c r="N73" s="3" t="s">
        <v>564</v>
      </c>
      <c r="O73" s="4" t="s">
        <v>63</v>
      </c>
      <c r="P73" s="4" t="s">
        <v>64</v>
      </c>
      <c r="Q73" s="3" t="s">
        <v>311</v>
      </c>
      <c r="R73" s="3" t="s">
        <v>565</v>
      </c>
      <c r="S73" s="3" t="s">
        <v>67</v>
      </c>
      <c r="T73" s="3" t="s">
        <v>68</v>
      </c>
      <c r="U73" s="3" t="s">
        <v>69</v>
      </c>
      <c r="V73" s="5" t="s">
        <v>1072</v>
      </c>
      <c r="W73" s="5"/>
      <c r="X73" s="5"/>
      <c r="Y73" s="5" t="s">
        <v>70</v>
      </c>
      <c r="Z73" s="5" t="s">
        <v>70</v>
      </c>
      <c r="AA73" s="5"/>
      <c r="AB73" s="5"/>
      <c r="AC73" s="5"/>
      <c r="AD73" s="5"/>
      <c r="AE73" s="5"/>
      <c r="AF73" s="5"/>
      <c r="AG73" s="5"/>
      <c r="AH73" s="5"/>
    </row>
    <row r="74" spans="1:34" ht="43.2" x14ac:dyDescent="0.3">
      <c r="A74" s="3">
        <v>73</v>
      </c>
      <c r="B74" s="3" t="s">
        <v>53</v>
      </c>
      <c r="C74" s="3" t="s">
        <v>566</v>
      </c>
      <c r="D74" s="3" t="s">
        <v>567</v>
      </c>
      <c r="E74" s="3" t="s">
        <v>197</v>
      </c>
      <c r="F74" s="3" t="s">
        <v>568</v>
      </c>
      <c r="G74" s="3" t="s">
        <v>569</v>
      </c>
      <c r="H74" s="3" t="s">
        <v>59</v>
      </c>
      <c r="I74" s="3" t="s">
        <v>59</v>
      </c>
      <c r="J74" s="3" t="s">
        <v>570</v>
      </c>
      <c r="K74" s="3"/>
      <c r="L74" s="3"/>
      <c r="M74" s="3" t="s">
        <v>571</v>
      </c>
      <c r="N74" s="3" t="s">
        <v>572</v>
      </c>
      <c r="O74" s="4" t="s">
        <v>63</v>
      </c>
      <c r="P74" s="4" t="s">
        <v>64</v>
      </c>
      <c r="Q74" s="3" t="s">
        <v>573</v>
      </c>
      <c r="R74" s="3" t="s">
        <v>66</v>
      </c>
      <c r="S74" s="3" t="s">
        <v>67</v>
      </c>
      <c r="T74" s="3" t="s">
        <v>68</v>
      </c>
      <c r="U74" s="3" t="s">
        <v>69</v>
      </c>
      <c r="V74" s="5" t="s">
        <v>1072</v>
      </c>
      <c r="W74" s="5"/>
      <c r="X74" s="5"/>
      <c r="Y74" s="5" t="s">
        <v>70</v>
      </c>
      <c r="Z74" s="5" t="s">
        <v>70</v>
      </c>
      <c r="AA74" s="5"/>
      <c r="AB74" s="5"/>
      <c r="AC74" s="5"/>
      <c r="AD74" s="5"/>
      <c r="AE74" s="5"/>
      <c r="AF74" s="5"/>
      <c r="AG74" s="5"/>
      <c r="AH74" s="5"/>
    </row>
    <row r="75" spans="1:34" ht="172.8" x14ac:dyDescent="0.3">
      <c r="A75" s="3">
        <v>74</v>
      </c>
      <c r="B75" s="3" t="s">
        <v>53</v>
      </c>
      <c r="C75" s="3" t="s">
        <v>574</v>
      </c>
      <c r="D75" s="3" t="s">
        <v>575</v>
      </c>
      <c r="E75" s="3" t="s">
        <v>576</v>
      </c>
      <c r="F75" s="3" t="s">
        <v>496</v>
      </c>
      <c r="G75" s="3" t="s">
        <v>497</v>
      </c>
      <c r="H75" s="3" t="s">
        <v>59</v>
      </c>
      <c r="I75" s="3" t="s">
        <v>59</v>
      </c>
      <c r="J75" s="3" t="s">
        <v>577</v>
      </c>
      <c r="K75" s="3"/>
      <c r="L75" s="3" t="s">
        <v>578</v>
      </c>
      <c r="M75" s="3" t="s">
        <v>579</v>
      </c>
      <c r="N75" s="3" t="s">
        <v>580</v>
      </c>
      <c r="O75" s="4" t="s">
        <v>63</v>
      </c>
      <c r="P75" s="4" t="s">
        <v>64</v>
      </c>
      <c r="Q75" s="3" t="s">
        <v>502</v>
      </c>
      <c r="R75" s="3" t="s">
        <v>581</v>
      </c>
      <c r="S75" s="3" t="s">
        <v>67</v>
      </c>
      <c r="T75" s="3" t="s">
        <v>68</v>
      </c>
      <c r="U75" s="3" t="s">
        <v>69</v>
      </c>
      <c r="V75" s="5" t="s">
        <v>1076</v>
      </c>
      <c r="W75" s="5"/>
      <c r="X75" s="5"/>
      <c r="Y75" s="5" t="s">
        <v>70</v>
      </c>
      <c r="Z75" s="5" t="s">
        <v>70</v>
      </c>
      <c r="AA75" s="5"/>
      <c r="AB75" s="5"/>
      <c r="AC75" s="5"/>
      <c r="AD75" s="5"/>
      <c r="AE75" s="5"/>
      <c r="AF75" s="5"/>
      <c r="AG75" s="5"/>
      <c r="AH75" s="5"/>
    </row>
    <row r="76" spans="1:34" ht="57.6" x14ac:dyDescent="0.3">
      <c r="A76" s="3">
        <v>75</v>
      </c>
      <c r="B76" s="3" t="s">
        <v>53</v>
      </c>
      <c r="C76" s="3" t="s">
        <v>582</v>
      </c>
      <c r="D76" s="3" t="s">
        <v>583</v>
      </c>
      <c r="E76" s="3" t="s">
        <v>584</v>
      </c>
      <c r="F76" s="3" t="s">
        <v>585</v>
      </c>
      <c r="G76" s="3" t="s">
        <v>586</v>
      </c>
      <c r="H76" s="3" t="s">
        <v>59</v>
      </c>
      <c r="I76" s="3" t="s">
        <v>59</v>
      </c>
      <c r="J76" s="3" t="s">
        <v>587</v>
      </c>
      <c r="K76" s="3"/>
      <c r="L76" s="3"/>
      <c r="M76" s="3" t="s">
        <v>588</v>
      </c>
      <c r="N76" s="3" t="s">
        <v>589</v>
      </c>
      <c r="O76" s="4" t="s">
        <v>63</v>
      </c>
      <c r="P76" s="4" t="s">
        <v>64</v>
      </c>
      <c r="Q76" s="3" t="s">
        <v>590</v>
      </c>
      <c r="R76" s="3" t="s">
        <v>591</v>
      </c>
      <c r="S76" s="3" t="s">
        <v>67</v>
      </c>
      <c r="T76" s="3" t="s">
        <v>68</v>
      </c>
      <c r="U76" s="3" t="s">
        <v>69</v>
      </c>
      <c r="V76" s="5" t="s">
        <v>1076</v>
      </c>
      <c r="W76" s="5"/>
      <c r="X76" s="5"/>
      <c r="Y76" s="5" t="s">
        <v>70</v>
      </c>
      <c r="Z76" s="5" t="s">
        <v>70</v>
      </c>
      <c r="AA76" s="5"/>
      <c r="AB76" s="5"/>
      <c r="AC76" s="5"/>
      <c r="AD76" s="5"/>
      <c r="AE76" s="5"/>
      <c r="AF76" s="5"/>
      <c r="AG76" s="5"/>
      <c r="AH76" s="5"/>
    </row>
    <row r="77" spans="1:34" ht="43.2" x14ac:dyDescent="0.3">
      <c r="A77" s="3">
        <v>76</v>
      </c>
      <c r="B77" s="3" t="s">
        <v>53</v>
      </c>
      <c r="C77" s="3" t="s">
        <v>592</v>
      </c>
      <c r="D77" s="3" t="s">
        <v>593</v>
      </c>
      <c r="E77" s="3" t="s">
        <v>325</v>
      </c>
      <c r="F77" s="3" t="s">
        <v>263</v>
      </c>
      <c r="G77" s="3" t="s">
        <v>483</v>
      </c>
      <c r="H77" s="3" t="s">
        <v>59</v>
      </c>
      <c r="I77" s="3" t="s">
        <v>59</v>
      </c>
      <c r="J77" s="3" t="s">
        <v>594</v>
      </c>
      <c r="K77" s="3"/>
      <c r="L77" s="3"/>
      <c r="M77" s="3" t="s">
        <v>595</v>
      </c>
      <c r="N77" s="3" t="s">
        <v>596</v>
      </c>
      <c r="O77" s="4" t="s">
        <v>63</v>
      </c>
      <c r="P77" s="4" t="s">
        <v>64</v>
      </c>
      <c r="Q77" s="3" t="s">
        <v>268</v>
      </c>
      <c r="R77" s="3" t="s">
        <v>597</v>
      </c>
      <c r="S77" s="3" t="s">
        <v>67</v>
      </c>
      <c r="T77" s="3" t="s">
        <v>68</v>
      </c>
      <c r="U77" s="3" t="s">
        <v>69</v>
      </c>
      <c r="V77" s="5" t="s">
        <v>1072</v>
      </c>
      <c r="W77" s="5"/>
      <c r="X77" s="5"/>
      <c r="Y77" s="5" t="s">
        <v>70</v>
      </c>
      <c r="Z77" s="5" t="s">
        <v>70</v>
      </c>
      <c r="AA77" s="5"/>
      <c r="AB77" s="5"/>
      <c r="AC77" s="5"/>
      <c r="AD77" s="5"/>
      <c r="AE77" s="5"/>
      <c r="AF77" s="5"/>
      <c r="AG77" s="5"/>
      <c r="AH77" s="5"/>
    </row>
    <row r="78" spans="1:34" ht="158.4" x14ac:dyDescent="0.3">
      <c r="A78" s="3">
        <v>77</v>
      </c>
      <c r="B78" s="3" t="s">
        <v>53</v>
      </c>
      <c r="C78" s="3" t="s">
        <v>598</v>
      </c>
      <c r="D78" s="3" t="s">
        <v>599</v>
      </c>
      <c r="E78" s="3" t="s">
        <v>325</v>
      </c>
      <c r="F78" s="3" t="s">
        <v>600</v>
      </c>
      <c r="G78" s="3" t="s">
        <v>601</v>
      </c>
      <c r="H78" s="3" t="s">
        <v>59</v>
      </c>
      <c r="I78" s="3" t="s">
        <v>59</v>
      </c>
      <c r="J78" s="3" t="s">
        <v>602</v>
      </c>
      <c r="K78" s="3"/>
      <c r="L78" s="3" t="s">
        <v>603</v>
      </c>
      <c r="M78" s="3" t="s">
        <v>604</v>
      </c>
      <c r="N78" s="3" t="s">
        <v>605</v>
      </c>
      <c r="O78" s="4" t="s">
        <v>63</v>
      </c>
      <c r="P78" s="4" t="s">
        <v>64</v>
      </c>
      <c r="Q78" s="3" t="s">
        <v>278</v>
      </c>
      <c r="R78" s="3" t="s">
        <v>606</v>
      </c>
      <c r="S78" s="3" t="s">
        <v>67</v>
      </c>
      <c r="T78" s="3" t="s">
        <v>68</v>
      </c>
      <c r="U78" s="3" t="s">
        <v>69</v>
      </c>
      <c r="V78" s="5" t="s">
        <v>1072</v>
      </c>
      <c r="W78" s="5"/>
      <c r="X78" s="5"/>
      <c r="Y78" s="5" t="s">
        <v>70</v>
      </c>
      <c r="Z78" s="5" t="s">
        <v>70</v>
      </c>
      <c r="AA78" s="5"/>
      <c r="AB78" s="5"/>
      <c r="AC78" s="5"/>
      <c r="AD78" s="5"/>
      <c r="AE78" s="5"/>
      <c r="AF78" s="5"/>
      <c r="AG78" s="5"/>
      <c r="AH78" s="5"/>
    </row>
    <row r="79" spans="1:34" ht="43.2" x14ac:dyDescent="0.3">
      <c r="A79" s="3">
        <v>78</v>
      </c>
      <c r="B79" s="3" t="s">
        <v>53</v>
      </c>
      <c r="C79" s="3" t="s">
        <v>607</v>
      </c>
      <c r="D79" s="3" t="s">
        <v>608</v>
      </c>
      <c r="E79" s="3" t="s">
        <v>90</v>
      </c>
      <c r="F79" s="3" t="s">
        <v>609</v>
      </c>
      <c r="G79" s="3" t="s">
        <v>610</v>
      </c>
      <c r="H79" s="3" t="s">
        <v>59</v>
      </c>
      <c r="I79" s="3" t="s">
        <v>59</v>
      </c>
      <c r="J79" s="3" t="s">
        <v>611</v>
      </c>
      <c r="K79" s="3"/>
      <c r="L79" s="3"/>
      <c r="M79" s="3" t="s">
        <v>612</v>
      </c>
      <c r="N79" s="3" t="s">
        <v>613</v>
      </c>
      <c r="O79" s="4" t="s">
        <v>63</v>
      </c>
      <c r="P79" s="4" t="s">
        <v>64</v>
      </c>
      <c r="Q79" s="3" t="s">
        <v>614</v>
      </c>
      <c r="R79" s="3" t="s">
        <v>229</v>
      </c>
      <c r="S79" s="3" t="s">
        <v>67</v>
      </c>
      <c r="T79" s="3" t="s">
        <v>68</v>
      </c>
      <c r="U79" s="3" t="s">
        <v>69</v>
      </c>
      <c r="V79" s="5" t="s">
        <v>1072</v>
      </c>
      <c r="W79" s="5"/>
      <c r="X79" s="5"/>
      <c r="Y79" s="5" t="s">
        <v>70</v>
      </c>
      <c r="Z79" s="5" t="s">
        <v>70</v>
      </c>
      <c r="AA79" s="5"/>
      <c r="AB79" s="5"/>
      <c r="AC79" s="5"/>
      <c r="AD79" s="5"/>
      <c r="AE79" s="5"/>
      <c r="AF79" s="5"/>
      <c r="AG79" s="5"/>
      <c r="AH79" s="5"/>
    </row>
    <row r="80" spans="1:34" ht="43.2" x14ac:dyDescent="0.3">
      <c r="A80" s="3">
        <v>79</v>
      </c>
      <c r="B80" s="3" t="s">
        <v>53</v>
      </c>
      <c r="C80" s="3" t="s">
        <v>615</v>
      </c>
      <c r="D80" s="3" t="s">
        <v>616</v>
      </c>
      <c r="E80" s="3" t="s">
        <v>617</v>
      </c>
      <c r="F80" s="3" t="s">
        <v>263</v>
      </c>
      <c r="G80" s="3" t="s">
        <v>483</v>
      </c>
      <c r="H80" s="3" t="s">
        <v>618</v>
      </c>
      <c r="I80" s="3" t="s">
        <v>618</v>
      </c>
      <c r="J80" s="3" t="s">
        <v>619</v>
      </c>
      <c r="K80" s="3"/>
      <c r="L80" s="3"/>
      <c r="M80" s="3" t="s">
        <v>620</v>
      </c>
      <c r="N80" s="3" t="s">
        <v>621</v>
      </c>
      <c r="O80" s="4" t="s">
        <v>63</v>
      </c>
      <c r="P80" s="4" t="s">
        <v>64</v>
      </c>
      <c r="Q80" s="3" t="s">
        <v>268</v>
      </c>
      <c r="R80" s="3" t="s">
        <v>622</v>
      </c>
      <c r="S80" s="3" t="s">
        <v>67</v>
      </c>
      <c r="T80" s="3" t="s">
        <v>68</v>
      </c>
      <c r="U80" s="3" t="s">
        <v>69</v>
      </c>
      <c r="V80" s="5" t="s">
        <v>1072</v>
      </c>
      <c r="W80" s="5"/>
      <c r="X80" s="5"/>
      <c r="Y80" s="5" t="s">
        <v>70</v>
      </c>
      <c r="Z80" s="5" t="s">
        <v>70</v>
      </c>
      <c r="AA80" s="5"/>
      <c r="AB80" s="5"/>
      <c r="AC80" s="5"/>
      <c r="AD80" s="5"/>
      <c r="AE80" s="5"/>
      <c r="AF80" s="5"/>
      <c r="AG80" s="5"/>
      <c r="AH80" s="5"/>
    </row>
    <row r="81" spans="1:34" ht="43.2" x14ac:dyDescent="0.3">
      <c r="A81" s="3">
        <v>80</v>
      </c>
      <c r="B81" s="3" t="s">
        <v>53</v>
      </c>
      <c r="C81" s="3" t="s">
        <v>623</v>
      </c>
      <c r="D81" s="3" t="s">
        <v>624</v>
      </c>
      <c r="E81" s="3" t="s">
        <v>625</v>
      </c>
      <c r="F81" s="3" t="s">
        <v>290</v>
      </c>
      <c r="G81" s="3" t="s">
        <v>291</v>
      </c>
      <c r="H81" s="3" t="s">
        <v>59</v>
      </c>
      <c r="I81" s="3" t="s">
        <v>59</v>
      </c>
      <c r="J81" s="3" t="s">
        <v>626</v>
      </c>
      <c r="K81" s="3"/>
      <c r="L81" s="3"/>
      <c r="M81" s="3" t="s">
        <v>627</v>
      </c>
      <c r="N81" s="3" t="s">
        <v>628</v>
      </c>
      <c r="O81" s="4" t="s">
        <v>63</v>
      </c>
      <c r="P81" s="4" t="s">
        <v>64</v>
      </c>
      <c r="Q81" s="3" t="s">
        <v>221</v>
      </c>
      <c r="R81" s="3" t="s">
        <v>629</v>
      </c>
      <c r="S81" s="3" t="s">
        <v>67</v>
      </c>
      <c r="T81" s="3" t="s">
        <v>68</v>
      </c>
      <c r="U81" s="3" t="s">
        <v>69</v>
      </c>
      <c r="V81" s="5" t="s">
        <v>1073</v>
      </c>
      <c r="W81" s="5"/>
      <c r="X81" s="5"/>
      <c r="Y81" s="5" t="s">
        <v>70</v>
      </c>
      <c r="Z81" s="5" t="s">
        <v>70</v>
      </c>
      <c r="AA81" s="5"/>
      <c r="AB81" s="5"/>
      <c r="AC81" s="5"/>
      <c r="AD81" s="5"/>
      <c r="AE81" s="5"/>
      <c r="AF81" s="5"/>
      <c r="AG81" s="5"/>
      <c r="AH81" s="5"/>
    </row>
    <row r="82" spans="1:34" ht="43.2" x14ac:dyDescent="0.3">
      <c r="A82" s="3">
        <v>81</v>
      </c>
      <c r="B82" s="3" t="s">
        <v>53</v>
      </c>
      <c r="C82" s="3" t="s">
        <v>630</v>
      </c>
      <c r="D82" s="3" t="s">
        <v>631</v>
      </c>
      <c r="E82" s="3" t="s">
        <v>632</v>
      </c>
      <c r="F82" s="3" t="s">
        <v>337</v>
      </c>
      <c r="G82" s="3" t="s">
        <v>437</v>
      </c>
      <c r="H82" s="3" t="s">
        <v>498</v>
      </c>
      <c r="I82" s="3" t="s">
        <v>498</v>
      </c>
      <c r="J82" s="3" t="s">
        <v>633</v>
      </c>
      <c r="K82" s="3"/>
      <c r="L82" s="3"/>
      <c r="M82" s="3" t="s">
        <v>634</v>
      </c>
      <c r="N82" s="3" t="s">
        <v>635</v>
      </c>
      <c r="O82" s="4" t="s">
        <v>63</v>
      </c>
      <c r="P82" s="4" t="s">
        <v>64</v>
      </c>
      <c r="Q82" s="3" t="s">
        <v>65</v>
      </c>
      <c r="R82" s="3" t="s">
        <v>636</v>
      </c>
      <c r="S82" s="3" t="s">
        <v>67</v>
      </c>
      <c r="T82" s="3" t="s">
        <v>68</v>
      </c>
      <c r="U82" s="3" t="s">
        <v>69</v>
      </c>
      <c r="V82" s="5" t="s">
        <v>1072</v>
      </c>
      <c r="W82" s="5"/>
      <c r="X82" s="5"/>
      <c r="Y82" s="5" t="s">
        <v>70</v>
      </c>
      <c r="Z82" s="5" t="s">
        <v>70</v>
      </c>
      <c r="AA82" s="5"/>
      <c r="AB82" s="5"/>
      <c r="AC82" s="5"/>
      <c r="AD82" s="5"/>
      <c r="AE82" s="5"/>
      <c r="AF82" s="5"/>
      <c r="AG82" s="5"/>
      <c r="AH82" s="5"/>
    </row>
    <row r="83" spans="1:34" ht="43.2" x14ac:dyDescent="0.3">
      <c r="A83" s="3">
        <v>82</v>
      </c>
      <c r="B83" s="3" t="s">
        <v>53</v>
      </c>
      <c r="C83" s="3" t="s">
        <v>637</v>
      </c>
      <c r="D83" s="3" t="s">
        <v>638</v>
      </c>
      <c r="E83" s="3" t="s">
        <v>90</v>
      </c>
      <c r="F83" s="3" t="s">
        <v>74</v>
      </c>
      <c r="G83" s="3" t="s">
        <v>75</v>
      </c>
      <c r="H83" s="3" t="s">
        <v>59</v>
      </c>
      <c r="I83" s="3" t="s">
        <v>59</v>
      </c>
      <c r="J83" s="3" t="s">
        <v>639</v>
      </c>
      <c r="K83" s="3"/>
      <c r="L83" s="3"/>
      <c r="M83" s="3" t="s">
        <v>640</v>
      </c>
      <c r="N83" s="3" t="s">
        <v>641</v>
      </c>
      <c r="O83" s="4" t="s">
        <v>63</v>
      </c>
      <c r="P83" s="4" t="s">
        <v>64</v>
      </c>
      <c r="Q83" s="3" t="s">
        <v>79</v>
      </c>
      <c r="R83" s="3" t="s">
        <v>130</v>
      </c>
      <c r="S83" s="3" t="s">
        <v>67</v>
      </c>
      <c r="T83" s="3" t="s">
        <v>68</v>
      </c>
      <c r="U83" s="3" t="s">
        <v>69</v>
      </c>
      <c r="V83" s="5" t="s">
        <v>1072</v>
      </c>
      <c r="W83" s="5"/>
      <c r="X83" s="5"/>
      <c r="Y83" s="5" t="s">
        <v>70</v>
      </c>
      <c r="Z83" s="5" t="s">
        <v>70</v>
      </c>
      <c r="AA83" s="5"/>
      <c r="AB83" s="5"/>
      <c r="AC83" s="5"/>
      <c r="AD83" s="5"/>
      <c r="AE83" s="5"/>
      <c r="AF83" s="5"/>
      <c r="AG83" s="5"/>
      <c r="AH83" s="5"/>
    </row>
    <row r="84" spans="1:34" ht="129.6" x14ac:dyDescent="0.3">
      <c r="A84" s="3">
        <v>83</v>
      </c>
      <c r="B84" s="3" t="s">
        <v>53</v>
      </c>
      <c r="C84" s="3" t="s">
        <v>642</v>
      </c>
      <c r="D84" s="3" t="s">
        <v>643</v>
      </c>
      <c r="E84" s="3" t="s">
        <v>644</v>
      </c>
      <c r="F84" s="3" t="s">
        <v>645</v>
      </c>
      <c r="G84" s="3" t="s">
        <v>646</v>
      </c>
      <c r="H84" s="3" t="s">
        <v>59</v>
      </c>
      <c r="I84" s="3" t="s">
        <v>59</v>
      </c>
      <c r="J84" s="3" t="s">
        <v>647</v>
      </c>
      <c r="K84" s="3"/>
      <c r="L84" s="3" t="s">
        <v>648</v>
      </c>
      <c r="M84" s="3" t="s">
        <v>649</v>
      </c>
      <c r="N84" s="3" t="s">
        <v>650</v>
      </c>
      <c r="O84" s="4" t="s">
        <v>63</v>
      </c>
      <c r="P84" s="4" t="s">
        <v>64</v>
      </c>
      <c r="Q84" s="3" t="s">
        <v>321</v>
      </c>
      <c r="R84" s="3" t="s">
        <v>651</v>
      </c>
      <c r="S84" s="3" t="s">
        <v>67</v>
      </c>
      <c r="T84" s="3" t="s">
        <v>68</v>
      </c>
      <c r="U84" s="3" t="s">
        <v>69</v>
      </c>
      <c r="V84" s="5" t="s">
        <v>1072</v>
      </c>
      <c r="W84" s="5"/>
      <c r="X84" s="5"/>
      <c r="Y84" s="5" t="s">
        <v>70</v>
      </c>
      <c r="Z84" s="5" t="s">
        <v>70</v>
      </c>
      <c r="AA84" s="5"/>
      <c r="AB84" s="5"/>
      <c r="AC84" s="5"/>
      <c r="AD84" s="5"/>
      <c r="AE84" s="5"/>
      <c r="AF84" s="5"/>
      <c r="AG84" s="5"/>
      <c r="AH84" s="5"/>
    </row>
    <row r="85" spans="1:34" ht="129.6" x14ac:dyDescent="0.3">
      <c r="A85" s="3">
        <v>84</v>
      </c>
      <c r="B85" s="3" t="s">
        <v>53</v>
      </c>
      <c r="C85" s="3" t="s">
        <v>652</v>
      </c>
      <c r="D85" s="3" t="s">
        <v>653</v>
      </c>
      <c r="E85" s="3" t="s">
        <v>654</v>
      </c>
      <c r="F85" s="3" t="s">
        <v>655</v>
      </c>
      <c r="G85" s="3" t="s">
        <v>656</v>
      </c>
      <c r="H85" s="3" t="s">
        <v>498</v>
      </c>
      <c r="I85" s="3" t="s">
        <v>498</v>
      </c>
      <c r="J85" s="3" t="s">
        <v>657</v>
      </c>
      <c r="K85" s="3"/>
      <c r="L85" s="3" t="s">
        <v>658</v>
      </c>
      <c r="M85" s="3" t="s">
        <v>659</v>
      </c>
      <c r="N85" s="3" t="s">
        <v>660</v>
      </c>
      <c r="O85" s="4" t="s">
        <v>63</v>
      </c>
      <c r="P85" s="4" t="s">
        <v>64</v>
      </c>
      <c r="Q85" s="3" t="s">
        <v>65</v>
      </c>
      <c r="R85" s="3" t="s">
        <v>661</v>
      </c>
      <c r="S85" s="3" t="s">
        <v>67</v>
      </c>
      <c r="T85" s="3" t="s">
        <v>68</v>
      </c>
      <c r="U85" s="3" t="s">
        <v>69</v>
      </c>
      <c r="V85" s="5" t="s">
        <v>1072</v>
      </c>
      <c r="W85" s="5"/>
      <c r="X85" s="5"/>
      <c r="Y85" s="5" t="s">
        <v>70</v>
      </c>
      <c r="Z85" s="5" t="s">
        <v>70</v>
      </c>
      <c r="AA85" s="5"/>
      <c r="AB85" s="5"/>
      <c r="AC85" s="5"/>
      <c r="AD85" s="5"/>
      <c r="AE85" s="5"/>
      <c r="AF85" s="5"/>
      <c r="AG85" s="5"/>
      <c r="AH85" s="5"/>
    </row>
    <row r="86" spans="1:34" ht="201.6" x14ac:dyDescent="0.3">
      <c r="A86" s="3">
        <v>85</v>
      </c>
      <c r="B86" s="3" t="s">
        <v>53</v>
      </c>
      <c r="C86" s="3" t="s">
        <v>662</v>
      </c>
      <c r="D86" s="3" t="s">
        <v>663</v>
      </c>
      <c r="E86" s="3" t="s">
        <v>664</v>
      </c>
      <c r="F86" s="3" t="s">
        <v>665</v>
      </c>
      <c r="G86" s="3" t="s">
        <v>666</v>
      </c>
      <c r="H86" s="3" t="s">
        <v>618</v>
      </c>
      <c r="I86" s="3" t="s">
        <v>618</v>
      </c>
      <c r="J86" s="3" t="s">
        <v>206</v>
      </c>
      <c r="K86" s="3"/>
      <c r="L86" s="3" t="s">
        <v>667</v>
      </c>
      <c r="M86" s="3" t="s">
        <v>668</v>
      </c>
      <c r="N86" s="3" t="s">
        <v>669</v>
      </c>
      <c r="O86" s="4" t="s">
        <v>63</v>
      </c>
      <c r="P86" s="4" t="s">
        <v>64</v>
      </c>
      <c r="Q86" s="3" t="s">
        <v>554</v>
      </c>
      <c r="R86" s="3" t="s">
        <v>670</v>
      </c>
      <c r="S86" s="3" t="s">
        <v>67</v>
      </c>
      <c r="T86" s="3" t="s">
        <v>68</v>
      </c>
      <c r="U86" s="3" t="s">
        <v>69</v>
      </c>
      <c r="V86" s="5" t="s">
        <v>1072</v>
      </c>
      <c r="W86" s="5"/>
      <c r="X86" s="5"/>
      <c r="Y86" s="5" t="s">
        <v>70</v>
      </c>
      <c r="Z86" s="5" t="s">
        <v>70</v>
      </c>
      <c r="AA86" s="5"/>
      <c r="AB86" s="5"/>
      <c r="AC86" s="5"/>
      <c r="AD86" s="5"/>
      <c r="AE86" s="5"/>
      <c r="AF86" s="5"/>
      <c r="AG86" s="5"/>
      <c r="AH86" s="5"/>
    </row>
    <row r="87" spans="1:34" ht="43.2" x14ac:dyDescent="0.3">
      <c r="A87" s="3">
        <v>86</v>
      </c>
      <c r="B87" s="3" t="s">
        <v>53</v>
      </c>
      <c r="C87" s="3" t="s">
        <v>671</v>
      </c>
      <c r="D87" s="3" t="s">
        <v>672</v>
      </c>
      <c r="E87" s="3" t="s">
        <v>673</v>
      </c>
      <c r="F87" s="3" t="s">
        <v>674</v>
      </c>
      <c r="G87" s="3" t="s">
        <v>675</v>
      </c>
      <c r="H87" s="3" t="s">
        <v>59</v>
      </c>
      <c r="I87" s="3" t="s">
        <v>59</v>
      </c>
      <c r="J87" s="3" t="s">
        <v>676</v>
      </c>
      <c r="K87" s="3"/>
      <c r="L87" s="3"/>
      <c r="M87" s="3" t="s">
        <v>677</v>
      </c>
      <c r="N87" s="3" t="s">
        <v>678</v>
      </c>
      <c r="O87" s="4" t="s">
        <v>63</v>
      </c>
      <c r="P87" s="4" t="s">
        <v>64</v>
      </c>
      <c r="Q87" s="3" t="s">
        <v>95</v>
      </c>
      <c r="R87" s="3" t="s">
        <v>679</v>
      </c>
      <c r="S87" s="3" t="s">
        <v>67</v>
      </c>
      <c r="T87" s="3" t="s">
        <v>68</v>
      </c>
      <c r="U87" s="3" t="s">
        <v>69</v>
      </c>
      <c r="V87" s="5" t="s">
        <v>1072</v>
      </c>
      <c r="W87" s="5"/>
      <c r="X87" s="5"/>
      <c r="Y87" s="5" t="s">
        <v>70</v>
      </c>
      <c r="Z87" s="5" t="s">
        <v>70</v>
      </c>
      <c r="AA87" s="5"/>
      <c r="AB87" s="5"/>
      <c r="AC87" s="5"/>
      <c r="AD87" s="5"/>
      <c r="AE87" s="5"/>
      <c r="AF87" s="5"/>
      <c r="AG87" s="5"/>
      <c r="AH87" s="5"/>
    </row>
    <row r="88" spans="1:34" ht="115.2" x14ac:dyDescent="0.3">
      <c r="A88" s="3">
        <v>87</v>
      </c>
      <c r="B88" s="3" t="s">
        <v>53</v>
      </c>
      <c r="C88" s="3" t="s">
        <v>680</v>
      </c>
      <c r="D88" s="3" t="s">
        <v>681</v>
      </c>
      <c r="E88" s="3" t="s">
        <v>682</v>
      </c>
      <c r="F88" s="3" t="s">
        <v>683</v>
      </c>
      <c r="G88" s="3" t="s">
        <v>684</v>
      </c>
      <c r="H88" s="3" t="s">
        <v>274</v>
      </c>
      <c r="I88" s="3" t="s">
        <v>274</v>
      </c>
      <c r="J88" s="3" t="s">
        <v>685</v>
      </c>
      <c r="K88" s="3"/>
      <c r="L88" s="3"/>
      <c r="M88" s="3" t="s">
        <v>686</v>
      </c>
      <c r="N88" s="3" t="s">
        <v>687</v>
      </c>
      <c r="O88" s="4" t="s">
        <v>63</v>
      </c>
      <c r="P88" s="4" t="s">
        <v>64</v>
      </c>
      <c r="Q88" s="3" t="s">
        <v>79</v>
      </c>
      <c r="R88" s="3" t="s">
        <v>688</v>
      </c>
      <c r="S88" s="3" t="s">
        <v>67</v>
      </c>
      <c r="T88" s="3" t="s">
        <v>68</v>
      </c>
      <c r="U88" s="3" t="s">
        <v>69</v>
      </c>
      <c r="V88" s="5" t="s">
        <v>1073</v>
      </c>
      <c r="W88" s="5"/>
      <c r="X88" s="5"/>
      <c r="Y88" s="5" t="s">
        <v>70</v>
      </c>
      <c r="Z88" s="5" t="s">
        <v>70</v>
      </c>
      <c r="AA88" s="5"/>
      <c r="AB88" s="5"/>
      <c r="AC88" s="5"/>
      <c r="AD88" s="5"/>
      <c r="AE88" s="5"/>
      <c r="AF88" s="5"/>
      <c r="AG88" s="5"/>
      <c r="AH88" s="5"/>
    </row>
    <row r="89" spans="1:34" ht="129.6" x14ac:dyDescent="0.3">
      <c r="A89" s="3">
        <v>88</v>
      </c>
      <c r="B89" s="3" t="s">
        <v>53</v>
      </c>
      <c r="C89" s="3" t="s">
        <v>689</v>
      </c>
      <c r="D89" s="3" t="s">
        <v>690</v>
      </c>
      <c r="E89" s="3" t="s">
        <v>691</v>
      </c>
      <c r="F89" s="3" t="s">
        <v>692</v>
      </c>
      <c r="G89" s="3" t="s">
        <v>693</v>
      </c>
      <c r="H89" s="3" t="s">
        <v>618</v>
      </c>
      <c r="I89" s="3" t="s">
        <v>618</v>
      </c>
      <c r="J89" s="3" t="s">
        <v>206</v>
      </c>
      <c r="K89" s="3"/>
      <c r="L89" s="3" t="s">
        <v>694</v>
      </c>
      <c r="M89" s="3" t="s">
        <v>695</v>
      </c>
      <c r="N89" s="3" t="s">
        <v>696</v>
      </c>
      <c r="O89" s="4" t="s">
        <v>63</v>
      </c>
      <c r="P89" s="4" t="s">
        <v>64</v>
      </c>
      <c r="Q89" s="3" t="s">
        <v>95</v>
      </c>
      <c r="R89" s="3" t="s">
        <v>697</v>
      </c>
      <c r="S89" s="3" t="s">
        <v>67</v>
      </c>
      <c r="T89" s="3" t="s">
        <v>68</v>
      </c>
      <c r="U89" s="3" t="s">
        <v>69</v>
      </c>
      <c r="V89" s="5" t="s">
        <v>1072</v>
      </c>
      <c r="W89" s="5"/>
      <c r="X89" s="5"/>
      <c r="Y89" s="5" t="s">
        <v>70</v>
      </c>
      <c r="Z89" s="5" t="s">
        <v>70</v>
      </c>
      <c r="AA89" s="5"/>
      <c r="AB89" s="5"/>
      <c r="AC89" s="5"/>
      <c r="AD89" s="5"/>
      <c r="AE89" s="5"/>
      <c r="AF89" s="5"/>
      <c r="AG89" s="5"/>
      <c r="AH89" s="5"/>
    </row>
    <row r="90" spans="1:34" ht="115.2" x14ac:dyDescent="0.3">
      <c r="A90" s="3">
        <v>89</v>
      </c>
      <c r="B90" s="3" t="s">
        <v>53</v>
      </c>
      <c r="C90" s="3" t="s">
        <v>698</v>
      </c>
      <c r="D90" s="3" t="s">
        <v>699</v>
      </c>
      <c r="E90" s="3" t="s">
        <v>700</v>
      </c>
      <c r="F90" s="3" t="s">
        <v>701</v>
      </c>
      <c r="G90" s="3" t="s">
        <v>666</v>
      </c>
      <c r="H90" s="3" t="s">
        <v>618</v>
      </c>
      <c r="I90" s="3" t="s">
        <v>618</v>
      </c>
      <c r="J90" s="3" t="s">
        <v>206</v>
      </c>
      <c r="K90" s="3"/>
      <c r="L90" s="3" t="s">
        <v>702</v>
      </c>
      <c r="M90" s="3" t="s">
        <v>703</v>
      </c>
      <c r="N90" s="3" t="s">
        <v>704</v>
      </c>
      <c r="O90" s="4" t="s">
        <v>63</v>
      </c>
      <c r="P90" s="4" t="s">
        <v>64</v>
      </c>
      <c r="Q90" s="3" t="s">
        <v>79</v>
      </c>
      <c r="R90" s="3" t="s">
        <v>705</v>
      </c>
      <c r="S90" s="3" t="s">
        <v>67</v>
      </c>
      <c r="T90" s="3" t="s">
        <v>68</v>
      </c>
      <c r="U90" s="3" t="s">
        <v>69</v>
      </c>
      <c r="V90" s="5" t="s">
        <v>1072</v>
      </c>
      <c r="W90" s="5"/>
      <c r="X90" s="5"/>
      <c r="Y90" s="5" t="s">
        <v>70</v>
      </c>
      <c r="Z90" s="5" t="s">
        <v>70</v>
      </c>
      <c r="AA90" s="5"/>
      <c r="AB90" s="5"/>
      <c r="AC90" s="5"/>
      <c r="AD90" s="5"/>
      <c r="AE90" s="5"/>
      <c r="AF90" s="5"/>
      <c r="AG90" s="5"/>
      <c r="AH90" s="5"/>
    </row>
    <row r="91" spans="1:34" ht="43.2" x14ac:dyDescent="0.3">
      <c r="A91" s="3">
        <v>90</v>
      </c>
      <c r="B91" s="3" t="s">
        <v>53</v>
      </c>
      <c r="C91" s="3" t="s">
        <v>706</v>
      </c>
      <c r="D91" s="3" t="s">
        <v>707</v>
      </c>
      <c r="E91" s="3" t="s">
        <v>625</v>
      </c>
      <c r="F91" s="3" t="s">
        <v>290</v>
      </c>
      <c r="G91" s="3" t="s">
        <v>291</v>
      </c>
      <c r="H91" s="3" t="s">
        <v>59</v>
      </c>
      <c r="I91" s="3" t="s">
        <v>59</v>
      </c>
      <c r="J91" s="3" t="s">
        <v>708</v>
      </c>
      <c r="K91" s="3"/>
      <c r="L91" s="3"/>
      <c r="M91" s="3" t="s">
        <v>709</v>
      </c>
      <c r="N91" s="3" t="s">
        <v>710</v>
      </c>
      <c r="O91" s="4" t="s">
        <v>63</v>
      </c>
      <c r="P91" s="4" t="s">
        <v>64</v>
      </c>
      <c r="Q91" s="3" t="s">
        <v>221</v>
      </c>
      <c r="R91" s="3" t="s">
        <v>629</v>
      </c>
      <c r="S91" s="3" t="s">
        <v>67</v>
      </c>
      <c r="T91" s="3" t="s">
        <v>68</v>
      </c>
      <c r="U91" s="3" t="s">
        <v>69</v>
      </c>
      <c r="V91" s="5" t="s">
        <v>1073</v>
      </c>
      <c r="W91" s="5"/>
      <c r="X91" s="5"/>
      <c r="Y91" s="5" t="s">
        <v>70</v>
      </c>
      <c r="Z91" s="5" t="s">
        <v>70</v>
      </c>
      <c r="AA91" s="5"/>
      <c r="AB91" s="5"/>
      <c r="AC91" s="5"/>
      <c r="AD91" s="5"/>
      <c r="AE91" s="5"/>
      <c r="AF91" s="5"/>
      <c r="AG91" s="5"/>
      <c r="AH91" s="5"/>
    </row>
    <row r="92" spans="1:34" ht="43.2" x14ac:dyDescent="0.3">
      <c r="A92" s="3">
        <v>91</v>
      </c>
      <c r="B92" s="3" t="s">
        <v>53</v>
      </c>
      <c r="C92" s="3" t="s">
        <v>711</v>
      </c>
      <c r="D92" s="3" t="s">
        <v>712</v>
      </c>
      <c r="E92" s="3" t="s">
        <v>625</v>
      </c>
      <c r="F92" s="3" t="s">
        <v>290</v>
      </c>
      <c r="G92" s="3" t="s">
        <v>291</v>
      </c>
      <c r="H92" s="3" t="s">
        <v>59</v>
      </c>
      <c r="I92" s="3" t="s">
        <v>59</v>
      </c>
      <c r="J92" s="3" t="s">
        <v>713</v>
      </c>
      <c r="K92" s="3"/>
      <c r="L92" s="3"/>
      <c r="M92" s="3" t="s">
        <v>714</v>
      </c>
      <c r="N92" s="3" t="s">
        <v>715</v>
      </c>
      <c r="O92" s="4" t="s">
        <v>63</v>
      </c>
      <c r="P92" s="4" t="s">
        <v>64</v>
      </c>
      <c r="Q92" s="3" t="s">
        <v>221</v>
      </c>
      <c r="R92" s="3" t="s">
        <v>629</v>
      </c>
      <c r="S92" s="3" t="s">
        <v>67</v>
      </c>
      <c r="T92" s="3" t="s">
        <v>68</v>
      </c>
      <c r="U92" s="3" t="s">
        <v>69</v>
      </c>
      <c r="V92" s="5" t="s">
        <v>1073</v>
      </c>
      <c r="W92" s="5"/>
      <c r="X92" s="5"/>
      <c r="Y92" s="5" t="s">
        <v>70</v>
      </c>
      <c r="Z92" s="5" t="s">
        <v>70</v>
      </c>
      <c r="AA92" s="5"/>
      <c r="AB92" s="5"/>
      <c r="AC92" s="5"/>
      <c r="AD92" s="5"/>
      <c r="AE92" s="5"/>
      <c r="AF92" s="5"/>
      <c r="AG92" s="5"/>
      <c r="AH92" s="5"/>
    </row>
    <row r="93" spans="1:34" ht="43.2" x14ac:dyDescent="0.3">
      <c r="A93" s="3">
        <v>92</v>
      </c>
      <c r="B93" s="3" t="s">
        <v>53</v>
      </c>
      <c r="C93" s="3" t="s">
        <v>716</v>
      </c>
      <c r="D93" s="3" t="s">
        <v>717</v>
      </c>
      <c r="E93" s="3" t="s">
        <v>59</v>
      </c>
      <c r="F93" s="3" t="s">
        <v>74</v>
      </c>
      <c r="G93" s="3" t="s">
        <v>75</v>
      </c>
      <c r="H93" s="3" t="s">
        <v>59</v>
      </c>
      <c r="I93" s="3" t="s">
        <v>59</v>
      </c>
      <c r="J93" s="3" t="s">
        <v>718</v>
      </c>
      <c r="K93" s="3"/>
      <c r="L93" s="3"/>
      <c r="M93" s="3" t="s">
        <v>719</v>
      </c>
      <c r="N93" s="3" t="s">
        <v>720</v>
      </c>
      <c r="O93" s="4" t="s">
        <v>63</v>
      </c>
      <c r="P93" s="4" t="s">
        <v>64</v>
      </c>
      <c r="Q93" s="3" t="s">
        <v>79</v>
      </c>
      <c r="R93" s="3" t="s">
        <v>555</v>
      </c>
      <c r="S93" s="3" t="s">
        <v>67</v>
      </c>
      <c r="T93" s="3" t="s">
        <v>68</v>
      </c>
      <c r="U93" s="3" t="s">
        <v>69</v>
      </c>
      <c r="V93" s="5" t="s">
        <v>1076</v>
      </c>
      <c r="W93" s="5"/>
      <c r="X93" s="5"/>
      <c r="Y93" s="5" t="s">
        <v>70</v>
      </c>
      <c r="Z93" s="5" t="s">
        <v>70</v>
      </c>
      <c r="AA93" s="5"/>
      <c r="AB93" s="5"/>
      <c r="AC93" s="5"/>
      <c r="AD93" s="5"/>
      <c r="AE93" s="5"/>
      <c r="AF93" s="5"/>
      <c r="AG93" s="5"/>
      <c r="AH93" s="5"/>
    </row>
    <row r="94" spans="1:34" ht="43.2" x14ac:dyDescent="0.3">
      <c r="A94" s="3">
        <v>93</v>
      </c>
      <c r="B94" s="3" t="s">
        <v>53</v>
      </c>
      <c r="C94" s="3" t="s">
        <v>721</v>
      </c>
      <c r="D94" s="3" t="s">
        <v>722</v>
      </c>
      <c r="E94" s="3" t="s">
        <v>59</v>
      </c>
      <c r="F94" s="3" t="s">
        <v>74</v>
      </c>
      <c r="G94" s="3" t="s">
        <v>75</v>
      </c>
      <c r="H94" s="3" t="s">
        <v>59</v>
      </c>
      <c r="I94" s="3" t="s">
        <v>59</v>
      </c>
      <c r="J94" s="3" t="s">
        <v>723</v>
      </c>
      <c r="K94" s="3"/>
      <c r="L94" s="3"/>
      <c r="M94" s="3" t="s">
        <v>724</v>
      </c>
      <c r="N94" s="3" t="s">
        <v>725</v>
      </c>
      <c r="O94" s="4" t="s">
        <v>63</v>
      </c>
      <c r="P94" s="4" t="s">
        <v>64</v>
      </c>
      <c r="Q94" s="3" t="s">
        <v>79</v>
      </c>
      <c r="R94" s="3" t="s">
        <v>248</v>
      </c>
      <c r="S94" s="3" t="s">
        <v>67</v>
      </c>
      <c r="T94" s="3" t="s">
        <v>68</v>
      </c>
      <c r="U94" s="3" t="s">
        <v>69</v>
      </c>
      <c r="V94" s="5" t="s">
        <v>1076</v>
      </c>
      <c r="W94" s="5"/>
      <c r="X94" s="5"/>
      <c r="Y94" s="5" t="s">
        <v>70</v>
      </c>
      <c r="Z94" s="5" t="s">
        <v>70</v>
      </c>
      <c r="AA94" s="5"/>
      <c r="AB94" s="5"/>
      <c r="AC94" s="5"/>
      <c r="AD94" s="5"/>
      <c r="AE94" s="5"/>
      <c r="AF94" s="5"/>
      <c r="AG94" s="5"/>
      <c r="AH94" s="5"/>
    </row>
    <row r="95" spans="1:34" ht="43.2" x14ac:dyDescent="0.3">
      <c r="A95" s="3">
        <v>94</v>
      </c>
      <c r="B95" s="3" t="s">
        <v>53</v>
      </c>
      <c r="C95" s="3" t="s">
        <v>726</v>
      </c>
      <c r="D95" s="3" t="s">
        <v>727</v>
      </c>
      <c r="E95" s="3" t="s">
        <v>728</v>
      </c>
      <c r="F95" s="3" t="s">
        <v>729</v>
      </c>
      <c r="G95" s="3" t="s">
        <v>730</v>
      </c>
      <c r="H95" s="3" t="s">
        <v>59</v>
      </c>
      <c r="I95" s="3" t="s">
        <v>59</v>
      </c>
      <c r="J95" s="3" t="s">
        <v>731</v>
      </c>
      <c r="K95" s="3"/>
      <c r="L95" s="3"/>
      <c r="M95" s="3" t="s">
        <v>732</v>
      </c>
      <c r="N95" s="3" t="s">
        <v>733</v>
      </c>
      <c r="O95" s="4" t="s">
        <v>63</v>
      </c>
      <c r="P95" s="4" t="s">
        <v>64</v>
      </c>
      <c r="Q95" s="3" t="s">
        <v>303</v>
      </c>
      <c r="R95" s="3" t="s">
        <v>414</v>
      </c>
      <c r="S95" s="3" t="s">
        <v>67</v>
      </c>
      <c r="T95" s="3" t="s">
        <v>68</v>
      </c>
      <c r="U95" s="3" t="s">
        <v>69</v>
      </c>
      <c r="V95" s="5" t="s">
        <v>1072</v>
      </c>
      <c r="W95" s="5"/>
      <c r="X95" s="5"/>
      <c r="Y95" s="5" t="s">
        <v>70</v>
      </c>
      <c r="Z95" s="5" t="s">
        <v>70</v>
      </c>
      <c r="AA95" s="5"/>
      <c r="AB95" s="5"/>
      <c r="AC95" s="5"/>
      <c r="AD95" s="5"/>
      <c r="AE95" s="5"/>
      <c r="AF95" s="5"/>
      <c r="AG95" s="5"/>
      <c r="AH95" s="5"/>
    </row>
    <row r="96" spans="1:34" ht="43.2" x14ac:dyDescent="0.3">
      <c r="A96" s="3">
        <v>95</v>
      </c>
      <c r="B96" s="3" t="s">
        <v>53</v>
      </c>
      <c r="C96" s="3" t="s">
        <v>734</v>
      </c>
      <c r="D96" s="3" t="s">
        <v>735</v>
      </c>
      <c r="E96" s="3" t="s">
        <v>736</v>
      </c>
      <c r="F96" s="3" t="s">
        <v>729</v>
      </c>
      <c r="G96" s="3" t="s">
        <v>730</v>
      </c>
      <c r="H96" s="3" t="s">
        <v>59</v>
      </c>
      <c r="I96" s="3" t="s">
        <v>59</v>
      </c>
      <c r="J96" s="3" t="s">
        <v>636</v>
      </c>
      <c r="K96" s="3"/>
      <c r="L96" s="3"/>
      <c r="M96" s="3" t="s">
        <v>737</v>
      </c>
      <c r="N96" s="3" t="s">
        <v>738</v>
      </c>
      <c r="O96" s="4" t="s">
        <v>63</v>
      </c>
      <c r="P96" s="4" t="s">
        <v>64</v>
      </c>
      <c r="Q96" s="3" t="s">
        <v>303</v>
      </c>
      <c r="R96" s="3" t="s">
        <v>414</v>
      </c>
      <c r="S96" s="3" t="s">
        <v>67</v>
      </c>
      <c r="T96" s="3" t="s">
        <v>68</v>
      </c>
      <c r="U96" s="3" t="s">
        <v>69</v>
      </c>
      <c r="V96" s="5" t="s">
        <v>1072</v>
      </c>
      <c r="W96" s="5"/>
      <c r="X96" s="5"/>
      <c r="Y96" s="5" t="s">
        <v>70</v>
      </c>
      <c r="Z96" s="5" t="s">
        <v>70</v>
      </c>
      <c r="AA96" s="5"/>
      <c r="AB96" s="5"/>
      <c r="AC96" s="5"/>
      <c r="AD96" s="5"/>
      <c r="AE96" s="5"/>
      <c r="AF96" s="5"/>
      <c r="AG96" s="5"/>
      <c r="AH96" s="5"/>
    </row>
    <row r="97" spans="1:34" ht="43.2" x14ac:dyDescent="0.3">
      <c r="A97" s="3">
        <v>96</v>
      </c>
      <c r="B97" s="3" t="s">
        <v>53</v>
      </c>
      <c r="C97" s="3" t="s">
        <v>739</v>
      </c>
      <c r="D97" s="3" t="s">
        <v>740</v>
      </c>
      <c r="E97" s="3" t="s">
        <v>741</v>
      </c>
      <c r="F97" s="3" t="s">
        <v>742</v>
      </c>
      <c r="G97" s="3" t="s">
        <v>743</v>
      </c>
      <c r="H97" s="3" t="s">
        <v>59</v>
      </c>
      <c r="I97" s="3" t="s">
        <v>59</v>
      </c>
      <c r="J97" s="3" t="s">
        <v>744</v>
      </c>
      <c r="K97" s="3"/>
      <c r="L97" s="3"/>
      <c r="M97" s="3" t="s">
        <v>745</v>
      </c>
      <c r="N97" s="3" t="s">
        <v>746</v>
      </c>
      <c r="O97" s="4" t="s">
        <v>63</v>
      </c>
      <c r="P97" s="4" t="s">
        <v>64</v>
      </c>
      <c r="Q97" s="3" t="s">
        <v>747</v>
      </c>
      <c r="R97" s="3" t="s">
        <v>748</v>
      </c>
      <c r="S97" s="3" t="s">
        <v>67</v>
      </c>
      <c r="T97" s="3" t="s">
        <v>68</v>
      </c>
      <c r="U97" s="3" t="s">
        <v>69</v>
      </c>
      <c r="V97" s="5" t="s">
        <v>1076</v>
      </c>
      <c r="W97" s="5"/>
      <c r="X97" s="5"/>
      <c r="Y97" s="5" t="s">
        <v>70</v>
      </c>
      <c r="Z97" s="5" t="s">
        <v>70</v>
      </c>
      <c r="AA97" s="5"/>
      <c r="AB97" s="5"/>
      <c r="AC97" s="5"/>
      <c r="AD97" s="5"/>
      <c r="AE97" s="5"/>
      <c r="AF97" s="5"/>
      <c r="AG97" s="5"/>
      <c r="AH97" s="5"/>
    </row>
    <row r="98" spans="1:34" ht="43.2" x14ac:dyDescent="0.3">
      <c r="A98" s="3">
        <v>97</v>
      </c>
      <c r="B98" s="3" t="s">
        <v>53</v>
      </c>
      <c r="C98" s="3" t="s">
        <v>749</v>
      </c>
      <c r="D98" s="3" t="s">
        <v>750</v>
      </c>
      <c r="E98" s="3" t="s">
        <v>751</v>
      </c>
      <c r="F98" s="3" t="s">
        <v>742</v>
      </c>
      <c r="G98" s="3" t="s">
        <v>743</v>
      </c>
      <c r="H98" s="3" t="s">
        <v>59</v>
      </c>
      <c r="I98" s="3" t="s">
        <v>59</v>
      </c>
      <c r="J98" s="3" t="s">
        <v>744</v>
      </c>
      <c r="K98" s="3"/>
      <c r="L98" s="3"/>
      <c r="M98" s="3" t="s">
        <v>752</v>
      </c>
      <c r="N98" s="3" t="s">
        <v>753</v>
      </c>
      <c r="O98" s="4" t="s">
        <v>63</v>
      </c>
      <c r="P98" s="4" t="s">
        <v>64</v>
      </c>
      <c r="Q98" s="3" t="s">
        <v>747</v>
      </c>
      <c r="R98" s="3" t="s">
        <v>748</v>
      </c>
      <c r="S98" s="3" t="s">
        <v>67</v>
      </c>
      <c r="T98" s="3" t="s">
        <v>68</v>
      </c>
      <c r="U98" s="3" t="s">
        <v>69</v>
      </c>
      <c r="V98" s="5" t="s">
        <v>1076</v>
      </c>
      <c r="W98" s="5"/>
      <c r="X98" s="5"/>
      <c r="Y98" s="5" t="s">
        <v>70</v>
      </c>
      <c r="Z98" s="5" t="s">
        <v>70</v>
      </c>
      <c r="AA98" s="5"/>
      <c r="AB98" s="5"/>
      <c r="AC98" s="5"/>
      <c r="AD98" s="5"/>
      <c r="AE98" s="5"/>
      <c r="AF98" s="5"/>
      <c r="AG98" s="5"/>
      <c r="AH98" s="5"/>
    </row>
    <row r="99" spans="1:34" ht="43.2" x14ac:dyDescent="0.3">
      <c r="A99" s="3">
        <v>98</v>
      </c>
      <c r="B99" s="3" t="s">
        <v>53</v>
      </c>
      <c r="C99" s="3" t="s">
        <v>754</v>
      </c>
      <c r="D99" s="3" t="s">
        <v>755</v>
      </c>
      <c r="E99" s="3" t="s">
        <v>751</v>
      </c>
      <c r="F99" s="3" t="s">
        <v>742</v>
      </c>
      <c r="G99" s="3" t="s">
        <v>743</v>
      </c>
      <c r="H99" s="3" t="s">
        <v>59</v>
      </c>
      <c r="I99" s="3" t="s">
        <v>59</v>
      </c>
      <c r="J99" s="3" t="s">
        <v>744</v>
      </c>
      <c r="K99" s="3"/>
      <c r="L99" s="3"/>
      <c r="M99" s="3" t="s">
        <v>756</v>
      </c>
      <c r="N99" s="3" t="s">
        <v>757</v>
      </c>
      <c r="O99" s="4" t="s">
        <v>63</v>
      </c>
      <c r="P99" s="4" t="s">
        <v>64</v>
      </c>
      <c r="Q99" s="3" t="s">
        <v>747</v>
      </c>
      <c r="R99" s="3" t="s">
        <v>748</v>
      </c>
      <c r="S99" s="3" t="s">
        <v>67</v>
      </c>
      <c r="T99" s="3" t="s">
        <v>68</v>
      </c>
      <c r="U99" s="3" t="s">
        <v>69</v>
      </c>
      <c r="V99" s="5" t="s">
        <v>1076</v>
      </c>
      <c r="W99" s="5"/>
      <c r="X99" s="5"/>
      <c r="Y99" s="5" t="s">
        <v>70</v>
      </c>
      <c r="Z99" s="5" t="s">
        <v>70</v>
      </c>
      <c r="AA99" s="5"/>
      <c r="AB99" s="5"/>
      <c r="AC99" s="5"/>
      <c r="AD99" s="5"/>
      <c r="AE99" s="5"/>
      <c r="AF99" s="5"/>
      <c r="AG99" s="5"/>
      <c r="AH99" s="5"/>
    </row>
    <row r="100" spans="1:34" ht="100.8" x14ac:dyDescent="0.3">
      <c r="A100" s="3">
        <v>99</v>
      </c>
      <c r="B100" s="3" t="s">
        <v>53</v>
      </c>
      <c r="C100" s="3" t="s">
        <v>758</v>
      </c>
      <c r="D100" s="3" t="s">
        <v>759</v>
      </c>
      <c r="E100" s="3" t="s">
        <v>443</v>
      </c>
      <c r="F100" s="3" t="s">
        <v>760</v>
      </c>
      <c r="G100" s="3" t="s">
        <v>761</v>
      </c>
      <c r="H100" s="3" t="s">
        <v>59</v>
      </c>
      <c r="I100" s="3" t="s">
        <v>59</v>
      </c>
      <c r="J100" s="3" t="s">
        <v>762</v>
      </c>
      <c r="K100" s="3"/>
      <c r="L100" s="3" t="s">
        <v>763</v>
      </c>
      <c r="M100" s="3" t="s">
        <v>764</v>
      </c>
      <c r="N100" s="3" t="s">
        <v>765</v>
      </c>
      <c r="O100" s="4" t="s">
        <v>63</v>
      </c>
      <c r="P100" s="4" t="s">
        <v>64</v>
      </c>
      <c r="Q100" s="3" t="s">
        <v>766</v>
      </c>
      <c r="R100" s="3" t="s">
        <v>555</v>
      </c>
      <c r="S100" s="3" t="s">
        <v>67</v>
      </c>
      <c r="T100" s="3" t="s">
        <v>68</v>
      </c>
      <c r="U100" s="3" t="s">
        <v>69</v>
      </c>
      <c r="V100" s="5" t="s">
        <v>1073</v>
      </c>
      <c r="W100" s="5"/>
      <c r="X100" s="5"/>
      <c r="Y100" s="5" t="s">
        <v>70</v>
      </c>
      <c r="Z100" s="5" t="s">
        <v>70</v>
      </c>
      <c r="AA100" s="5"/>
      <c r="AB100" s="5"/>
      <c r="AC100" s="5"/>
      <c r="AD100" s="5"/>
      <c r="AE100" s="5"/>
      <c r="AF100" s="5"/>
      <c r="AG100" s="5"/>
      <c r="AH100" s="5"/>
    </row>
    <row r="101" spans="1:34" ht="43.2" x14ac:dyDescent="0.3">
      <c r="A101" s="3">
        <v>100</v>
      </c>
      <c r="B101" s="3" t="s">
        <v>53</v>
      </c>
      <c r="C101" s="3" t="s">
        <v>767</v>
      </c>
      <c r="D101" s="3" t="s">
        <v>768</v>
      </c>
      <c r="E101" s="3" t="s">
        <v>769</v>
      </c>
      <c r="F101" s="3" t="s">
        <v>770</v>
      </c>
      <c r="G101" s="3" t="s">
        <v>771</v>
      </c>
      <c r="H101" s="3" t="s">
        <v>59</v>
      </c>
      <c r="I101" s="3" t="s">
        <v>59</v>
      </c>
      <c r="J101" s="3" t="s">
        <v>772</v>
      </c>
      <c r="K101" s="3"/>
      <c r="L101" s="3"/>
      <c r="M101" s="3" t="s">
        <v>773</v>
      </c>
      <c r="N101" s="3" t="s">
        <v>774</v>
      </c>
      <c r="O101" s="4" t="s">
        <v>63</v>
      </c>
      <c r="P101" s="4" t="s">
        <v>64</v>
      </c>
      <c r="Q101" s="3" t="s">
        <v>775</v>
      </c>
      <c r="R101" s="3" t="s">
        <v>229</v>
      </c>
      <c r="S101" s="3" t="s">
        <v>67</v>
      </c>
      <c r="T101" s="3" t="s">
        <v>68</v>
      </c>
      <c r="U101" s="3" t="s">
        <v>69</v>
      </c>
      <c r="V101" s="5" t="s">
        <v>1072</v>
      </c>
      <c r="W101" s="5"/>
      <c r="X101" s="5"/>
      <c r="Y101" s="5" t="s">
        <v>70</v>
      </c>
      <c r="Z101" s="5" t="s">
        <v>70</v>
      </c>
      <c r="AA101" s="5"/>
      <c r="AB101" s="5"/>
      <c r="AC101" s="5"/>
      <c r="AD101" s="5"/>
      <c r="AE101" s="5"/>
      <c r="AF101" s="5"/>
      <c r="AG101" s="5"/>
      <c r="AH101" s="5"/>
    </row>
    <row r="102" spans="1:34" ht="43.2" x14ac:dyDescent="0.3">
      <c r="A102" s="3">
        <v>101</v>
      </c>
      <c r="B102" s="3" t="s">
        <v>53</v>
      </c>
      <c r="C102" s="3" t="s">
        <v>776</v>
      </c>
      <c r="D102" s="3" t="s">
        <v>777</v>
      </c>
      <c r="E102" s="3" t="s">
        <v>769</v>
      </c>
      <c r="F102" s="3" t="s">
        <v>770</v>
      </c>
      <c r="G102" s="3" t="s">
        <v>771</v>
      </c>
      <c r="H102" s="3" t="s">
        <v>59</v>
      </c>
      <c r="I102" s="3" t="s">
        <v>59</v>
      </c>
      <c r="J102" s="3" t="s">
        <v>772</v>
      </c>
      <c r="K102" s="3"/>
      <c r="L102" s="3"/>
      <c r="M102" s="3" t="s">
        <v>778</v>
      </c>
      <c r="N102" s="3" t="s">
        <v>779</v>
      </c>
      <c r="O102" s="4" t="s">
        <v>63</v>
      </c>
      <c r="P102" s="4" t="s">
        <v>64</v>
      </c>
      <c r="Q102" s="3" t="s">
        <v>775</v>
      </c>
      <c r="R102" s="3" t="s">
        <v>229</v>
      </c>
      <c r="S102" s="3" t="s">
        <v>67</v>
      </c>
      <c r="T102" s="3" t="s">
        <v>68</v>
      </c>
      <c r="U102" s="3" t="s">
        <v>69</v>
      </c>
      <c r="V102" s="5" t="s">
        <v>1072</v>
      </c>
      <c r="W102" s="5"/>
      <c r="X102" s="5"/>
      <c r="Y102" s="5" t="s">
        <v>70</v>
      </c>
      <c r="Z102" s="5" t="s">
        <v>70</v>
      </c>
      <c r="AA102" s="5"/>
      <c r="AB102" s="5"/>
      <c r="AC102" s="5"/>
      <c r="AD102" s="5"/>
      <c r="AE102" s="5"/>
      <c r="AF102" s="5"/>
      <c r="AG102" s="5"/>
      <c r="AH102" s="5"/>
    </row>
    <row r="103" spans="1:34" ht="144" x14ac:dyDescent="0.3">
      <c r="A103" s="3">
        <v>102</v>
      </c>
      <c r="B103" s="3" t="s">
        <v>53</v>
      </c>
      <c r="C103" s="3" t="s">
        <v>780</v>
      </c>
      <c r="D103" s="3" t="s">
        <v>781</v>
      </c>
      <c r="E103" s="3" t="s">
        <v>289</v>
      </c>
      <c r="F103" s="3" t="s">
        <v>782</v>
      </c>
      <c r="G103" s="3" t="s">
        <v>783</v>
      </c>
      <c r="H103" s="3" t="s">
        <v>59</v>
      </c>
      <c r="I103" s="3" t="s">
        <v>59</v>
      </c>
      <c r="J103" s="3" t="s">
        <v>784</v>
      </c>
      <c r="K103" s="3"/>
      <c r="L103" s="3" t="s">
        <v>785</v>
      </c>
      <c r="M103" s="3" t="s">
        <v>786</v>
      </c>
      <c r="N103" s="3" t="s">
        <v>787</v>
      </c>
      <c r="O103" s="4" t="s">
        <v>63</v>
      </c>
      <c r="P103" s="4" t="s">
        <v>64</v>
      </c>
      <c r="Q103" s="3" t="s">
        <v>788</v>
      </c>
      <c r="R103" s="3" t="s">
        <v>789</v>
      </c>
      <c r="S103" s="3" t="s">
        <v>67</v>
      </c>
      <c r="T103" s="3" t="s">
        <v>68</v>
      </c>
      <c r="U103" s="3" t="s">
        <v>69</v>
      </c>
      <c r="V103" s="5" t="s">
        <v>1073</v>
      </c>
      <c r="W103" s="5"/>
      <c r="X103" s="5"/>
      <c r="Y103" s="5" t="s">
        <v>70</v>
      </c>
      <c r="Z103" s="5" t="s">
        <v>70</v>
      </c>
      <c r="AA103" s="5"/>
      <c r="AB103" s="5"/>
      <c r="AC103" s="5"/>
      <c r="AD103" s="5"/>
      <c r="AE103" s="5"/>
      <c r="AF103" s="5"/>
      <c r="AG103" s="5"/>
      <c r="AH103" s="5"/>
    </row>
    <row r="104" spans="1:34" ht="158.4" x14ac:dyDescent="0.3">
      <c r="A104" s="3">
        <v>103</v>
      </c>
      <c r="B104" s="3" t="s">
        <v>53</v>
      </c>
      <c r="C104" s="3" t="s">
        <v>790</v>
      </c>
      <c r="D104" s="3" t="s">
        <v>791</v>
      </c>
      <c r="E104" s="3" t="s">
        <v>792</v>
      </c>
      <c r="F104" s="3" t="s">
        <v>793</v>
      </c>
      <c r="G104" s="3" t="s">
        <v>794</v>
      </c>
      <c r="H104" s="3" t="s">
        <v>59</v>
      </c>
      <c r="I104" s="3" t="s">
        <v>59</v>
      </c>
      <c r="J104" s="3" t="s">
        <v>795</v>
      </c>
      <c r="K104" s="3"/>
      <c r="L104" s="3" t="s">
        <v>796</v>
      </c>
      <c r="M104" s="3" t="s">
        <v>797</v>
      </c>
      <c r="N104" s="3" t="s">
        <v>798</v>
      </c>
      <c r="O104" s="4" t="s">
        <v>63</v>
      </c>
      <c r="P104" s="4" t="s">
        <v>64</v>
      </c>
      <c r="Q104" s="3" t="s">
        <v>799</v>
      </c>
      <c r="R104" s="3" t="s">
        <v>800</v>
      </c>
      <c r="S104" s="3" t="s">
        <v>67</v>
      </c>
      <c r="T104" s="3" t="s">
        <v>68</v>
      </c>
      <c r="U104" s="3" t="s">
        <v>69</v>
      </c>
      <c r="V104" s="5" t="s">
        <v>1072</v>
      </c>
      <c r="W104" s="5"/>
      <c r="X104" s="5"/>
      <c r="Y104" s="5" t="s">
        <v>70</v>
      </c>
      <c r="Z104" s="5" t="s">
        <v>70</v>
      </c>
      <c r="AA104" s="5"/>
      <c r="AB104" s="5"/>
      <c r="AC104" s="5"/>
      <c r="AD104" s="5"/>
      <c r="AE104" s="5"/>
      <c r="AF104" s="5"/>
      <c r="AG104" s="5"/>
      <c r="AH104" s="5"/>
    </row>
    <row r="105" spans="1:34" ht="158.4" x14ac:dyDescent="0.3">
      <c r="A105" s="3">
        <v>104</v>
      </c>
      <c r="B105" s="3" t="s">
        <v>53</v>
      </c>
      <c r="C105" s="3" t="s">
        <v>801</v>
      </c>
      <c r="D105" s="3" t="s">
        <v>802</v>
      </c>
      <c r="E105" s="3" t="s">
        <v>803</v>
      </c>
      <c r="F105" s="3" t="s">
        <v>804</v>
      </c>
      <c r="G105" s="3" t="s">
        <v>794</v>
      </c>
      <c r="H105" s="3" t="s">
        <v>59</v>
      </c>
      <c r="I105" s="3" t="s">
        <v>59</v>
      </c>
      <c r="J105" s="3" t="s">
        <v>795</v>
      </c>
      <c r="K105" s="3"/>
      <c r="L105" s="3" t="s">
        <v>805</v>
      </c>
      <c r="M105" s="3" t="s">
        <v>806</v>
      </c>
      <c r="N105" s="3" t="s">
        <v>807</v>
      </c>
      <c r="O105" s="4" t="s">
        <v>63</v>
      </c>
      <c r="P105" s="4" t="s">
        <v>64</v>
      </c>
      <c r="Q105" s="3" t="s">
        <v>799</v>
      </c>
      <c r="R105" s="3" t="s">
        <v>800</v>
      </c>
      <c r="S105" s="3" t="s">
        <v>67</v>
      </c>
      <c r="T105" s="3" t="s">
        <v>68</v>
      </c>
      <c r="U105" s="3" t="s">
        <v>69</v>
      </c>
      <c r="V105" s="5" t="s">
        <v>1072</v>
      </c>
      <c r="W105" s="5"/>
      <c r="X105" s="5"/>
      <c r="Y105" s="5" t="s">
        <v>70</v>
      </c>
      <c r="Z105" s="5" t="s">
        <v>70</v>
      </c>
      <c r="AA105" s="5"/>
      <c r="AB105" s="5"/>
      <c r="AC105" s="5"/>
      <c r="AD105" s="5"/>
      <c r="AE105" s="5"/>
      <c r="AF105" s="5"/>
      <c r="AG105" s="5"/>
      <c r="AH105" s="5"/>
    </row>
    <row r="106" spans="1:34" ht="43.2" x14ac:dyDescent="0.3">
      <c r="A106" s="3">
        <v>105</v>
      </c>
      <c r="B106" s="3" t="s">
        <v>53</v>
      </c>
      <c r="C106" s="3" t="s">
        <v>808</v>
      </c>
      <c r="D106" s="3" t="s">
        <v>809</v>
      </c>
      <c r="E106" s="3" t="s">
        <v>810</v>
      </c>
      <c r="F106" s="3" t="s">
        <v>804</v>
      </c>
      <c r="G106" s="3" t="s">
        <v>794</v>
      </c>
      <c r="H106" s="3" t="s">
        <v>59</v>
      </c>
      <c r="I106" s="3" t="s">
        <v>59</v>
      </c>
      <c r="J106" s="3" t="s">
        <v>811</v>
      </c>
      <c r="K106" s="3"/>
      <c r="L106" s="3"/>
      <c r="M106" s="3" t="s">
        <v>812</v>
      </c>
      <c r="N106" s="3" t="s">
        <v>813</v>
      </c>
      <c r="O106" s="4" t="s">
        <v>63</v>
      </c>
      <c r="P106" s="4" t="s">
        <v>64</v>
      </c>
      <c r="Q106" s="3" t="s">
        <v>65</v>
      </c>
      <c r="R106" s="3" t="s">
        <v>679</v>
      </c>
      <c r="S106" s="3" t="s">
        <v>67</v>
      </c>
      <c r="T106" s="3" t="s">
        <v>68</v>
      </c>
      <c r="U106" s="3" t="s">
        <v>69</v>
      </c>
      <c r="V106" s="5" t="s">
        <v>1072</v>
      </c>
      <c r="W106" s="5"/>
      <c r="X106" s="5"/>
      <c r="Y106" s="5" t="s">
        <v>70</v>
      </c>
      <c r="Z106" s="5" t="s">
        <v>70</v>
      </c>
      <c r="AA106" s="5"/>
      <c r="AB106" s="5"/>
      <c r="AC106" s="5"/>
      <c r="AD106" s="5"/>
      <c r="AE106" s="5"/>
      <c r="AF106" s="5"/>
      <c r="AG106" s="5"/>
      <c r="AH106" s="5"/>
    </row>
    <row r="107" spans="1:34" ht="172.8" x14ac:dyDescent="0.3">
      <c r="A107" s="3">
        <v>106</v>
      </c>
      <c r="B107" s="3" t="s">
        <v>53</v>
      </c>
      <c r="C107" s="3" t="s">
        <v>814</v>
      </c>
      <c r="D107" s="3" t="s">
        <v>815</v>
      </c>
      <c r="E107" s="3" t="s">
        <v>816</v>
      </c>
      <c r="F107" s="3" t="s">
        <v>817</v>
      </c>
      <c r="G107" s="3" t="s">
        <v>818</v>
      </c>
      <c r="H107" s="3" t="s">
        <v>59</v>
      </c>
      <c r="I107" s="3" t="s">
        <v>59</v>
      </c>
      <c r="J107" s="3" t="s">
        <v>819</v>
      </c>
      <c r="K107" s="3"/>
      <c r="L107" s="3" t="s">
        <v>820</v>
      </c>
      <c r="M107" s="3" t="s">
        <v>821</v>
      </c>
      <c r="N107" s="3" t="s">
        <v>822</v>
      </c>
      <c r="O107" s="4" t="s">
        <v>63</v>
      </c>
      <c r="P107" s="4" t="s">
        <v>64</v>
      </c>
      <c r="Q107" s="3" t="s">
        <v>823</v>
      </c>
      <c r="R107" s="3" t="s">
        <v>824</v>
      </c>
      <c r="S107" s="3" t="s">
        <v>67</v>
      </c>
      <c r="T107" s="3" t="s">
        <v>68</v>
      </c>
      <c r="U107" s="3" t="s">
        <v>69</v>
      </c>
      <c r="V107" s="5" t="s">
        <v>1072</v>
      </c>
      <c r="W107" s="5"/>
      <c r="X107" s="5"/>
      <c r="Y107" s="5" t="s">
        <v>70</v>
      </c>
      <c r="Z107" s="5" t="s">
        <v>70</v>
      </c>
      <c r="AA107" s="5"/>
      <c r="AB107" s="5"/>
      <c r="AC107" s="5"/>
      <c r="AD107" s="5"/>
      <c r="AE107" s="5"/>
      <c r="AF107" s="5"/>
      <c r="AG107" s="5"/>
      <c r="AH107" s="5"/>
    </row>
    <row r="108" spans="1:34" ht="86.4" x14ac:dyDescent="0.3">
      <c r="A108" s="3">
        <v>107</v>
      </c>
      <c r="B108" s="3" t="s">
        <v>53</v>
      </c>
      <c r="C108" s="3" t="s">
        <v>825</v>
      </c>
      <c r="D108" s="3" t="s">
        <v>826</v>
      </c>
      <c r="E108" s="3" t="s">
        <v>827</v>
      </c>
      <c r="F108" s="3" t="s">
        <v>828</v>
      </c>
      <c r="G108" s="3" t="s">
        <v>327</v>
      </c>
      <c r="H108" s="3" t="s">
        <v>59</v>
      </c>
      <c r="I108" s="3" t="s">
        <v>59</v>
      </c>
      <c r="J108" s="3" t="s">
        <v>829</v>
      </c>
      <c r="K108" s="3"/>
      <c r="L108" s="3" t="s">
        <v>830</v>
      </c>
      <c r="M108" s="3" t="s">
        <v>831</v>
      </c>
      <c r="N108" s="3" t="s">
        <v>832</v>
      </c>
      <c r="O108" s="4" t="s">
        <v>63</v>
      </c>
      <c r="P108" s="4" t="s">
        <v>64</v>
      </c>
      <c r="Q108" s="3" t="s">
        <v>65</v>
      </c>
      <c r="R108" s="3" t="s">
        <v>629</v>
      </c>
      <c r="S108" s="3" t="s">
        <v>67</v>
      </c>
      <c r="T108" s="3" t="s">
        <v>68</v>
      </c>
      <c r="U108" s="3" t="s">
        <v>69</v>
      </c>
      <c r="V108" s="5" t="s">
        <v>1072</v>
      </c>
      <c r="W108" s="5"/>
      <c r="X108" s="5"/>
      <c r="Y108" s="5" t="s">
        <v>70</v>
      </c>
      <c r="Z108" s="5" t="s">
        <v>70</v>
      </c>
      <c r="AA108" s="5"/>
      <c r="AB108" s="5"/>
      <c r="AC108" s="5"/>
      <c r="AD108" s="5"/>
      <c r="AE108" s="5"/>
      <c r="AF108" s="5"/>
      <c r="AG108" s="5"/>
      <c r="AH108" s="5"/>
    </row>
    <row r="109" spans="1:34" ht="43.2" x14ac:dyDescent="0.3">
      <c r="A109" s="3">
        <v>108</v>
      </c>
      <c r="B109" s="3" t="s">
        <v>53</v>
      </c>
      <c r="C109" s="3" t="s">
        <v>833</v>
      </c>
      <c r="D109" s="3" t="s">
        <v>834</v>
      </c>
      <c r="E109" s="3" t="s">
        <v>835</v>
      </c>
      <c r="F109" s="3" t="s">
        <v>836</v>
      </c>
      <c r="G109" s="3" t="s">
        <v>837</v>
      </c>
      <c r="H109" s="3" t="s">
        <v>59</v>
      </c>
      <c r="I109" s="3" t="s">
        <v>59</v>
      </c>
      <c r="J109" s="3" t="s">
        <v>838</v>
      </c>
      <c r="K109" s="3"/>
      <c r="L109" s="3"/>
      <c r="M109" s="3" t="s">
        <v>839</v>
      </c>
      <c r="N109" s="3" t="s">
        <v>840</v>
      </c>
      <c r="O109" s="4" t="s">
        <v>63</v>
      </c>
      <c r="P109" s="4" t="s">
        <v>64</v>
      </c>
      <c r="Q109" s="3" t="s">
        <v>65</v>
      </c>
      <c r="R109" s="3" t="s">
        <v>679</v>
      </c>
      <c r="S109" s="3" t="s">
        <v>67</v>
      </c>
      <c r="T109" s="3" t="s">
        <v>68</v>
      </c>
      <c r="U109" s="3" t="s">
        <v>69</v>
      </c>
      <c r="V109" s="5" t="s">
        <v>1072</v>
      </c>
      <c r="W109" s="5"/>
      <c r="X109" s="5"/>
      <c r="Y109" s="5" t="s">
        <v>70</v>
      </c>
      <c r="Z109" s="5" t="s">
        <v>70</v>
      </c>
      <c r="AA109" s="5"/>
      <c r="AB109" s="5"/>
      <c r="AC109" s="5"/>
      <c r="AD109" s="5"/>
      <c r="AE109" s="5"/>
      <c r="AF109" s="5"/>
      <c r="AG109" s="5"/>
      <c r="AH109" s="5"/>
    </row>
    <row r="110" spans="1:34" ht="43.2" x14ac:dyDescent="0.3">
      <c r="A110" s="3">
        <v>109</v>
      </c>
      <c r="B110" s="3" t="s">
        <v>53</v>
      </c>
      <c r="C110" s="3" t="s">
        <v>841</v>
      </c>
      <c r="D110" s="3" t="s">
        <v>842</v>
      </c>
      <c r="E110" s="3" t="s">
        <v>843</v>
      </c>
      <c r="F110" s="3" t="s">
        <v>844</v>
      </c>
      <c r="G110" s="3" t="s">
        <v>346</v>
      </c>
      <c r="H110" s="3" t="s">
        <v>59</v>
      </c>
      <c r="I110" s="3" t="s">
        <v>59</v>
      </c>
      <c r="J110" s="3" t="s">
        <v>845</v>
      </c>
      <c r="K110" s="3"/>
      <c r="L110" s="3"/>
      <c r="M110" s="3" t="s">
        <v>846</v>
      </c>
      <c r="N110" s="3" t="s">
        <v>847</v>
      </c>
      <c r="O110" s="4" t="s">
        <v>63</v>
      </c>
      <c r="P110" s="4" t="s">
        <v>64</v>
      </c>
      <c r="Q110" s="3" t="s">
        <v>65</v>
      </c>
      <c r="R110" s="3" t="s">
        <v>848</v>
      </c>
      <c r="S110" s="3" t="s">
        <v>67</v>
      </c>
      <c r="T110" s="3" t="s">
        <v>68</v>
      </c>
      <c r="U110" s="3" t="s">
        <v>69</v>
      </c>
      <c r="V110" s="5" t="s">
        <v>1072</v>
      </c>
      <c r="W110" s="5"/>
      <c r="X110" s="5"/>
      <c r="Y110" s="5" t="s">
        <v>70</v>
      </c>
      <c r="Z110" s="5" t="s">
        <v>70</v>
      </c>
      <c r="AA110" s="5"/>
      <c r="AB110" s="5"/>
      <c r="AC110" s="5"/>
      <c r="AD110" s="5"/>
      <c r="AE110" s="5"/>
      <c r="AF110" s="5"/>
      <c r="AG110" s="5"/>
      <c r="AH110" s="5"/>
    </row>
    <row r="111" spans="1:34" ht="72" x14ac:dyDescent="0.3">
      <c r="A111" s="3">
        <v>110</v>
      </c>
      <c r="B111" s="3" t="s">
        <v>53</v>
      </c>
      <c r="C111" s="3" t="s">
        <v>849</v>
      </c>
      <c r="D111" s="3" t="s">
        <v>850</v>
      </c>
      <c r="E111" s="3" t="s">
        <v>851</v>
      </c>
      <c r="F111" s="3" t="s">
        <v>852</v>
      </c>
      <c r="G111" s="3" t="s">
        <v>853</v>
      </c>
      <c r="H111" s="3" t="s">
        <v>59</v>
      </c>
      <c r="I111" s="3" t="s">
        <v>59</v>
      </c>
      <c r="J111" s="3" t="s">
        <v>854</v>
      </c>
      <c r="K111" s="3"/>
      <c r="L111" s="3" t="s">
        <v>855</v>
      </c>
      <c r="M111" s="3" t="s">
        <v>856</v>
      </c>
      <c r="N111" s="3" t="s">
        <v>857</v>
      </c>
      <c r="O111" s="4" t="s">
        <v>63</v>
      </c>
      <c r="P111" s="4" t="s">
        <v>64</v>
      </c>
      <c r="Q111" s="3" t="s">
        <v>858</v>
      </c>
      <c r="R111" s="3" t="s">
        <v>859</v>
      </c>
      <c r="S111" s="3" t="s">
        <v>67</v>
      </c>
      <c r="T111" s="3" t="s">
        <v>68</v>
      </c>
      <c r="U111" s="3" t="s">
        <v>69</v>
      </c>
      <c r="V111" s="5" t="s">
        <v>1072</v>
      </c>
      <c r="W111" s="5"/>
      <c r="X111" s="5"/>
      <c r="Y111" s="5" t="s">
        <v>70</v>
      </c>
      <c r="Z111" s="5" t="s">
        <v>70</v>
      </c>
      <c r="AA111" s="5"/>
      <c r="AB111" s="5"/>
      <c r="AC111" s="5"/>
      <c r="AD111" s="5"/>
      <c r="AE111" s="5"/>
      <c r="AF111" s="5"/>
      <c r="AG111" s="5"/>
      <c r="AH111" s="5"/>
    </row>
    <row r="112" spans="1:34" ht="100.8" x14ac:dyDescent="0.3">
      <c r="A112" s="3">
        <v>111</v>
      </c>
      <c r="B112" s="3" t="s">
        <v>53</v>
      </c>
      <c r="C112" s="3" t="s">
        <v>860</v>
      </c>
      <c r="D112" s="3" t="s">
        <v>861</v>
      </c>
      <c r="E112" s="3" t="s">
        <v>862</v>
      </c>
      <c r="F112" s="3" t="s">
        <v>852</v>
      </c>
      <c r="G112" s="3" t="s">
        <v>863</v>
      </c>
      <c r="H112" s="3" t="s">
        <v>59</v>
      </c>
      <c r="I112" s="3" t="s">
        <v>59</v>
      </c>
      <c r="J112" s="3" t="s">
        <v>854</v>
      </c>
      <c r="K112" s="3"/>
      <c r="L112" s="3" t="s">
        <v>864</v>
      </c>
      <c r="M112" s="3" t="s">
        <v>865</v>
      </c>
      <c r="N112" s="3" t="s">
        <v>866</v>
      </c>
      <c r="O112" s="4" t="s">
        <v>63</v>
      </c>
      <c r="P112" s="4" t="s">
        <v>64</v>
      </c>
      <c r="Q112" s="3" t="s">
        <v>95</v>
      </c>
      <c r="R112" s="3" t="s">
        <v>867</v>
      </c>
      <c r="S112" s="3" t="s">
        <v>67</v>
      </c>
      <c r="T112" s="3" t="s">
        <v>68</v>
      </c>
      <c r="U112" s="3" t="s">
        <v>69</v>
      </c>
      <c r="V112" s="5" t="s">
        <v>1077</v>
      </c>
      <c r="W112" s="5"/>
      <c r="X112" s="5"/>
      <c r="Y112" s="5" t="s">
        <v>70</v>
      </c>
      <c r="Z112" s="5" t="s">
        <v>70</v>
      </c>
      <c r="AA112" s="5"/>
      <c r="AB112" s="5"/>
      <c r="AC112" s="5"/>
      <c r="AD112" s="5"/>
      <c r="AE112" s="5"/>
      <c r="AF112" s="5"/>
      <c r="AG112" s="5"/>
      <c r="AH112" s="5"/>
    </row>
    <row r="113" spans="1:34" ht="100.8" x14ac:dyDescent="0.3">
      <c r="A113" s="3">
        <v>112</v>
      </c>
      <c r="B113" s="3" t="s">
        <v>53</v>
      </c>
      <c r="C113" s="3" t="s">
        <v>868</v>
      </c>
      <c r="D113" s="3" t="s">
        <v>869</v>
      </c>
      <c r="E113" s="3" t="s">
        <v>870</v>
      </c>
      <c r="F113" s="3" t="s">
        <v>871</v>
      </c>
      <c r="G113" s="3" t="s">
        <v>872</v>
      </c>
      <c r="H113" s="3" t="s">
        <v>873</v>
      </c>
      <c r="I113" s="3" t="s">
        <v>873</v>
      </c>
      <c r="J113" s="3" t="s">
        <v>874</v>
      </c>
      <c r="K113" s="3"/>
      <c r="L113" s="3" t="s">
        <v>875</v>
      </c>
      <c r="M113" s="3" t="s">
        <v>876</v>
      </c>
      <c r="N113" s="3" t="s">
        <v>877</v>
      </c>
      <c r="O113" s="4" t="s">
        <v>63</v>
      </c>
      <c r="P113" s="4" t="s">
        <v>64</v>
      </c>
      <c r="Q113" s="3" t="s">
        <v>95</v>
      </c>
      <c r="R113" s="3" t="s">
        <v>878</v>
      </c>
      <c r="S113" s="3" t="s">
        <v>67</v>
      </c>
      <c r="T113" s="3" t="s">
        <v>68</v>
      </c>
      <c r="U113" s="3" t="s">
        <v>69</v>
      </c>
      <c r="V113" s="5" t="s">
        <v>1072</v>
      </c>
      <c r="W113" s="5"/>
      <c r="X113" s="5"/>
      <c r="Y113" s="5" t="s">
        <v>70</v>
      </c>
      <c r="Z113" s="5" t="s">
        <v>70</v>
      </c>
      <c r="AA113" s="5"/>
      <c r="AB113" s="5"/>
      <c r="AC113" s="5"/>
      <c r="AD113" s="5"/>
      <c r="AE113" s="5"/>
      <c r="AF113" s="5"/>
      <c r="AG113" s="5"/>
      <c r="AH113" s="5"/>
    </row>
    <row r="114" spans="1:34" ht="115.2" x14ac:dyDescent="0.3">
      <c r="A114" s="3">
        <v>113</v>
      </c>
      <c r="B114" s="3" t="s">
        <v>53</v>
      </c>
      <c r="C114" s="3" t="s">
        <v>879</v>
      </c>
      <c r="D114" s="3" t="s">
        <v>880</v>
      </c>
      <c r="E114" s="3" t="s">
        <v>881</v>
      </c>
      <c r="F114" s="3" t="s">
        <v>882</v>
      </c>
      <c r="G114" s="3" t="s">
        <v>883</v>
      </c>
      <c r="H114" s="3" t="s">
        <v>873</v>
      </c>
      <c r="I114" s="3" t="s">
        <v>873</v>
      </c>
      <c r="J114" s="3" t="s">
        <v>884</v>
      </c>
      <c r="K114" s="3"/>
      <c r="L114" s="3" t="s">
        <v>885</v>
      </c>
      <c r="M114" s="3" t="s">
        <v>886</v>
      </c>
      <c r="N114" s="3" t="s">
        <v>887</v>
      </c>
      <c r="O114" s="4" t="s">
        <v>63</v>
      </c>
      <c r="P114" s="4" t="s">
        <v>64</v>
      </c>
      <c r="Q114" s="3" t="s">
        <v>95</v>
      </c>
      <c r="R114" s="3" t="s">
        <v>878</v>
      </c>
      <c r="S114" s="3" t="s">
        <v>67</v>
      </c>
      <c r="T114" s="3" t="s">
        <v>68</v>
      </c>
      <c r="U114" s="3" t="s">
        <v>69</v>
      </c>
      <c r="V114" s="5" t="s">
        <v>1073</v>
      </c>
      <c r="W114" s="5"/>
      <c r="X114" s="5"/>
      <c r="Y114" s="5" t="s">
        <v>70</v>
      </c>
      <c r="Z114" s="5" t="s">
        <v>70</v>
      </c>
      <c r="AA114" s="5"/>
      <c r="AB114" s="5"/>
      <c r="AC114" s="5"/>
      <c r="AD114" s="5"/>
      <c r="AE114" s="5"/>
      <c r="AF114" s="5"/>
      <c r="AG114" s="5"/>
      <c r="AH114" s="5"/>
    </row>
    <row r="115" spans="1:34" ht="57.6" x14ac:dyDescent="0.3">
      <c r="A115" s="3">
        <v>114</v>
      </c>
      <c r="B115" s="3" t="s">
        <v>53</v>
      </c>
      <c r="C115" s="3" t="s">
        <v>888</v>
      </c>
      <c r="D115" s="3" t="s">
        <v>889</v>
      </c>
      <c r="E115" s="3" t="s">
        <v>890</v>
      </c>
      <c r="F115" s="3" t="s">
        <v>852</v>
      </c>
      <c r="G115" s="3" t="s">
        <v>891</v>
      </c>
      <c r="H115" s="3" t="s">
        <v>873</v>
      </c>
      <c r="I115" s="3" t="s">
        <v>873</v>
      </c>
      <c r="J115" s="3" t="s">
        <v>892</v>
      </c>
      <c r="K115" s="3"/>
      <c r="L115" s="3" t="s">
        <v>893</v>
      </c>
      <c r="M115" s="3" t="s">
        <v>894</v>
      </c>
      <c r="N115" s="3" t="s">
        <v>895</v>
      </c>
      <c r="O115" s="4" t="s">
        <v>63</v>
      </c>
      <c r="P115" s="4" t="s">
        <v>64</v>
      </c>
      <c r="Q115" s="3" t="s">
        <v>95</v>
      </c>
      <c r="R115" s="3" t="s">
        <v>878</v>
      </c>
      <c r="S115" s="3" t="s">
        <v>67</v>
      </c>
      <c r="T115" s="3" t="s">
        <v>68</v>
      </c>
      <c r="U115" s="3" t="s">
        <v>69</v>
      </c>
      <c r="V115" s="5" t="s">
        <v>1073</v>
      </c>
      <c r="W115" s="5"/>
      <c r="X115" s="5"/>
      <c r="Y115" s="5" t="s">
        <v>70</v>
      </c>
      <c r="Z115" s="5" t="s">
        <v>70</v>
      </c>
      <c r="AA115" s="5"/>
      <c r="AB115" s="5"/>
      <c r="AC115" s="5"/>
      <c r="AD115" s="5"/>
      <c r="AE115" s="5"/>
      <c r="AF115" s="5"/>
      <c r="AG115" s="5"/>
      <c r="AH115" s="5"/>
    </row>
    <row r="116" spans="1:34" ht="57.6" x14ac:dyDescent="0.3">
      <c r="A116" s="3">
        <v>115</v>
      </c>
      <c r="B116" s="3" t="s">
        <v>53</v>
      </c>
      <c r="C116" s="3" t="s">
        <v>896</v>
      </c>
      <c r="D116" s="3" t="s">
        <v>897</v>
      </c>
      <c r="E116" s="3" t="s">
        <v>898</v>
      </c>
      <c r="F116" s="3" t="s">
        <v>852</v>
      </c>
      <c r="G116" s="3" t="s">
        <v>899</v>
      </c>
      <c r="H116" s="3" t="s">
        <v>873</v>
      </c>
      <c r="I116" s="3" t="s">
        <v>873</v>
      </c>
      <c r="J116" s="3" t="s">
        <v>900</v>
      </c>
      <c r="K116" s="3"/>
      <c r="L116" s="3" t="s">
        <v>901</v>
      </c>
      <c r="M116" s="3" t="s">
        <v>902</v>
      </c>
      <c r="N116" s="3" t="s">
        <v>903</v>
      </c>
      <c r="O116" s="4" t="s">
        <v>63</v>
      </c>
      <c r="P116" s="4" t="s">
        <v>64</v>
      </c>
      <c r="Q116" s="3" t="s">
        <v>95</v>
      </c>
      <c r="R116" s="3" t="s">
        <v>878</v>
      </c>
      <c r="S116" s="3" t="s">
        <v>67</v>
      </c>
      <c r="T116" s="3" t="s">
        <v>68</v>
      </c>
      <c r="U116" s="3" t="s">
        <v>69</v>
      </c>
      <c r="V116" s="5" t="s">
        <v>1076</v>
      </c>
      <c r="W116" s="5"/>
      <c r="X116" s="5"/>
      <c r="Y116" s="5" t="s">
        <v>70</v>
      </c>
      <c r="Z116" s="5" t="s">
        <v>70</v>
      </c>
      <c r="AA116" s="5"/>
      <c r="AB116" s="5"/>
      <c r="AC116" s="5"/>
      <c r="AD116" s="5"/>
      <c r="AE116" s="5"/>
      <c r="AF116" s="5"/>
      <c r="AG116" s="5"/>
      <c r="AH116" s="5"/>
    </row>
    <row r="117" spans="1:34" ht="144" x14ac:dyDescent="0.3">
      <c r="A117" s="3">
        <v>116</v>
      </c>
      <c r="B117" s="3" t="s">
        <v>53</v>
      </c>
      <c r="C117" s="3" t="s">
        <v>904</v>
      </c>
      <c r="D117" s="3" t="s">
        <v>905</v>
      </c>
      <c r="E117" s="3" t="s">
        <v>906</v>
      </c>
      <c r="F117" s="3" t="s">
        <v>907</v>
      </c>
      <c r="G117" s="3" t="s">
        <v>908</v>
      </c>
      <c r="H117" s="3" t="s">
        <v>59</v>
      </c>
      <c r="I117" s="3" t="s">
        <v>59</v>
      </c>
      <c r="J117" s="3" t="s">
        <v>909</v>
      </c>
      <c r="K117" s="3"/>
      <c r="L117" s="3" t="s">
        <v>910</v>
      </c>
      <c r="M117" s="3" t="s">
        <v>911</v>
      </c>
      <c r="N117" s="3" t="s">
        <v>912</v>
      </c>
      <c r="O117" s="4" t="s">
        <v>63</v>
      </c>
      <c r="P117" s="4" t="s">
        <v>64</v>
      </c>
      <c r="Q117" s="3" t="s">
        <v>913</v>
      </c>
      <c r="R117" s="3" t="s">
        <v>914</v>
      </c>
      <c r="S117" s="3" t="s">
        <v>67</v>
      </c>
      <c r="T117" s="3" t="s">
        <v>68</v>
      </c>
      <c r="U117" s="3" t="s">
        <v>69</v>
      </c>
      <c r="V117" s="5" t="s">
        <v>1072</v>
      </c>
      <c r="W117" s="5"/>
      <c r="X117" s="5"/>
      <c r="Y117" s="5" t="s">
        <v>70</v>
      </c>
      <c r="Z117" s="5" t="s">
        <v>70</v>
      </c>
      <c r="AA117" s="5"/>
      <c r="AB117" s="5"/>
      <c r="AC117" s="5"/>
      <c r="AD117" s="5"/>
      <c r="AE117" s="5"/>
      <c r="AF117" s="5"/>
      <c r="AG117" s="5"/>
      <c r="AH117" s="5"/>
    </row>
    <row r="118" spans="1:34" ht="144" x14ac:dyDescent="0.3">
      <c r="A118" s="3">
        <v>117</v>
      </c>
      <c r="B118" s="3" t="s">
        <v>53</v>
      </c>
      <c r="C118" s="3" t="s">
        <v>915</v>
      </c>
      <c r="D118" s="3" t="s">
        <v>916</v>
      </c>
      <c r="E118" s="3" t="s">
        <v>917</v>
      </c>
      <c r="F118" s="3" t="s">
        <v>907</v>
      </c>
      <c r="G118" s="3" t="s">
        <v>918</v>
      </c>
      <c r="H118" s="3" t="s">
        <v>59</v>
      </c>
      <c r="I118" s="3" t="s">
        <v>59</v>
      </c>
      <c r="J118" s="3" t="s">
        <v>919</v>
      </c>
      <c r="K118" s="3"/>
      <c r="L118" s="3" t="s">
        <v>910</v>
      </c>
      <c r="M118" s="3" t="s">
        <v>920</v>
      </c>
      <c r="N118" s="3" t="s">
        <v>921</v>
      </c>
      <c r="O118" s="4" t="s">
        <v>63</v>
      </c>
      <c r="P118" s="4" t="s">
        <v>64</v>
      </c>
      <c r="Q118" s="3" t="s">
        <v>913</v>
      </c>
      <c r="R118" s="3" t="s">
        <v>914</v>
      </c>
      <c r="S118" s="3" t="s">
        <v>67</v>
      </c>
      <c r="T118" s="3" t="s">
        <v>68</v>
      </c>
      <c r="U118" s="3" t="s">
        <v>69</v>
      </c>
      <c r="V118" s="5" t="s">
        <v>1072</v>
      </c>
      <c r="W118" s="5"/>
      <c r="X118" s="5"/>
      <c r="Y118" s="5" t="s">
        <v>70</v>
      </c>
      <c r="Z118" s="5" t="s">
        <v>70</v>
      </c>
      <c r="AA118" s="5"/>
      <c r="AB118" s="5"/>
      <c r="AC118" s="5"/>
      <c r="AD118" s="5"/>
      <c r="AE118" s="5"/>
      <c r="AF118" s="5"/>
      <c r="AG118" s="5"/>
      <c r="AH118" s="5"/>
    </row>
    <row r="119" spans="1:34" ht="144" x14ac:dyDescent="0.3">
      <c r="A119" s="3">
        <v>118</v>
      </c>
      <c r="B119" s="3" t="s">
        <v>53</v>
      </c>
      <c r="C119" s="3" t="s">
        <v>922</v>
      </c>
      <c r="D119" s="3" t="s">
        <v>923</v>
      </c>
      <c r="E119" s="3" t="s">
        <v>917</v>
      </c>
      <c r="F119" s="3" t="s">
        <v>907</v>
      </c>
      <c r="G119" s="3" t="s">
        <v>918</v>
      </c>
      <c r="H119" s="3" t="s">
        <v>59</v>
      </c>
      <c r="I119" s="3" t="s">
        <v>59</v>
      </c>
      <c r="J119" s="3" t="s">
        <v>919</v>
      </c>
      <c r="K119" s="3"/>
      <c r="L119" s="3" t="s">
        <v>910</v>
      </c>
      <c r="M119" s="3" t="s">
        <v>924</v>
      </c>
      <c r="N119" s="3" t="s">
        <v>925</v>
      </c>
      <c r="O119" s="4" t="s">
        <v>63</v>
      </c>
      <c r="P119" s="4" t="s">
        <v>64</v>
      </c>
      <c r="Q119" s="3" t="s">
        <v>913</v>
      </c>
      <c r="R119" s="3" t="s">
        <v>914</v>
      </c>
      <c r="S119" s="3" t="s">
        <v>67</v>
      </c>
      <c r="T119" s="3" t="s">
        <v>68</v>
      </c>
      <c r="U119" s="3" t="s">
        <v>69</v>
      </c>
      <c r="V119" s="5" t="s">
        <v>1072</v>
      </c>
      <c r="W119" s="5"/>
      <c r="X119" s="5"/>
      <c r="Y119" s="5" t="s">
        <v>70</v>
      </c>
      <c r="Z119" s="5" t="s">
        <v>70</v>
      </c>
      <c r="AA119" s="5"/>
      <c r="AB119" s="5"/>
      <c r="AC119" s="5"/>
      <c r="AD119" s="5"/>
      <c r="AE119" s="5"/>
      <c r="AF119" s="5"/>
      <c r="AG119" s="5"/>
      <c r="AH119" s="5"/>
    </row>
    <row r="120" spans="1:34" ht="129.6" x14ac:dyDescent="0.3">
      <c r="A120" s="3">
        <v>119</v>
      </c>
      <c r="B120" s="3" t="s">
        <v>53</v>
      </c>
      <c r="C120" s="3" t="s">
        <v>926</v>
      </c>
      <c r="D120" s="3" t="s">
        <v>927</v>
      </c>
      <c r="E120" s="3" t="s">
        <v>928</v>
      </c>
      <c r="F120" s="3" t="s">
        <v>929</v>
      </c>
      <c r="G120" s="3" t="s">
        <v>908</v>
      </c>
      <c r="H120" s="3" t="s">
        <v>59</v>
      </c>
      <c r="I120" s="3" t="s">
        <v>59</v>
      </c>
      <c r="J120" s="3" t="s">
        <v>930</v>
      </c>
      <c r="K120" s="3"/>
      <c r="L120" s="3" t="s">
        <v>931</v>
      </c>
      <c r="M120" s="3" t="s">
        <v>932</v>
      </c>
      <c r="N120" s="3" t="s">
        <v>933</v>
      </c>
      <c r="O120" s="4" t="s">
        <v>63</v>
      </c>
      <c r="P120" s="4" t="s">
        <v>64</v>
      </c>
      <c r="Q120" s="3" t="s">
        <v>934</v>
      </c>
      <c r="R120" s="3" t="s">
        <v>914</v>
      </c>
      <c r="S120" s="3" t="s">
        <v>67</v>
      </c>
      <c r="T120" s="3" t="s">
        <v>68</v>
      </c>
      <c r="U120" s="3" t="s">
        <v>69</v>
      </c>
      <c r="V120" s="5" t="s">
        <v>1072</v>
      </c>
      <c r="W120" s="5"/>
      <c r="X120" s="5"/>
      <c r="Y120" s="5" t="s">
        <v>70</v>
      </c>
      <c r="Z120" s="5" t="s">
        <v>70</v>
      </c>
      <c r="AA120" s="5"/>
      <c r="AB120" s="5"/>
      <c r="AC120" s="5"/>
      <c r="AD120" s="5"/>
      <c r="AE120" s="5"/>
      <c r="AF120" s="5"/>
      <c r="AG120" s="5"/>
      <c r="AH120" s="5"/>
    </row>
    <row r="121" spans="1:34" ht="129.6" x14ac:dyDescent="0.3">
      <c r="A121" s="3">
        <v>120</v>
      </c>
      <c r="B121" s="3" t="s">
        <v>53</v>
      </c>
      <c r="C121" s="3" t="s">
        <v>935</v>
      </c>
      <c r="D121" s="3" t="s">
        <v>936</v>
      </c>
      <c r="E121" s="3" t="s">
        <v>937</v>
      </c>
      <c r="F121" s="3" t="s">
        <v>938</v>
      </c>
      <c r="G121" s="3" t="s">
        <v>939</v>
      </c>
      <c r="H121" s="3" t="s">
        <v>59</v>
      </c>
      <c r="I121" s="3" t="s">
        <v>59</v>
      </c>
      <c r="J121" s="3" t="s">
        <v>940</v>
      </c>
      <c r="K121" s="3"/>
      <c r="L121" s="3" t="s">
        <v>941</v>
      </c>
      <c r="M121" s="3" t="s">
        <v>942</v>
      </c>
      <c r="N121" s="3" t="s">
        <v>943</v>
      </c>
      <c r="O121" s="4" t="s">
        <v>63</v>
      </c>
      <c r="P121" s="4" t="s">
        <v>64</v>
      </c>
      <c r="Q121" s="3" t="s">
        <v>944</v>
      </c>
      <c r="R121" s="3" t="s">
        <v>259</v>
      </c>
      <c r="S121" s="3" t="s">
        <v>67</v>
      </c>
      <c r="T121" s="3" t="s">
        <v>68</v>
      </c>
      <c r="U121" s="3" t="s">
        <v>69</v>
      </c>
      <c r="V121" s="5" t="s">
        <v>1072</v>
      </c>
      <c r="W121" s="5"/>
      <c r="X121" s="5"/>
      <c r="Y121" s="5" t="s">
        <v>70</v>
      </c>
      <c r="Z121" s="5" t="s">
        <v>70</v>
      </c>
      <c r="AA121" s="5"/>
      <c r="AB121" s="5"/>
      <c r="AC121" s="5"/>
      <c r="AD121" s="5"/>
      <c r="AE121" s="5"/>
      <c r="AF121" s="5"/>
      <c r="AG121" s="5"/>
      <c r="AH121" s="5"/>
    </row>
    <row r="122" spans="1:34" ht="129.6" x14ac:dyDescent="0.3">
      <c r="A122" s="3">
        <v>121</v>
      </c>
      <c r="B122" s="3" t="s">
        <v>53</v>
      </c>
      <c r="C122" s="3" t="s">
        <v>945</v>
      </c>
      <c r="D122" s="3" t="s">
        <v>946</v>
      </c>
      <c r="E122" s="3" t="s">
        <v>673</v>
      </c>
      <c r="F122" s="3" t="s">
        <v>938</v>
      </c>
      <c r="G122" s="3" t="s">
        <v>939</v>
      </c>
      <c r="H122" s="3" t="s">
        <v>59</v>
      </c>
      <c r="I122" s="3" t="s">
        <v>59</v>
      </c>
      <c r="J122" s="3" t="s">
        <v>940</v>
      </c>
      <c r="K122" s="3"/>
      <c r="L122" s="3" t="s">
        <v>947</v>
      </c>
      <c r="M122" s="3" t="s">
        <v>948</v>
      </c>
      <c r="N122" s="3" t="s">
        <v>949</v>
      </c>
      <c r="O122" s="4" t="s">
        <v>63</v>
      </c>
      <c r="P122" s="4" t="s">
        <v>64</v>
      </c>
      <c r="Q122" s="3" t="s">
        <v>944</v>
      </c>
      <c r="R122" s="3" t="s">
        <v>259</v>
      </c>
      <c r="S122" s="3" t="s">
        <v>67</v>
      </c>
      <c r="T122" s="3" t="s">
        <v>68</v>
      </c>
      <c r="U122" s="3" t="s">
        <v>69</v>
      </c>
      <c r="V122" s="5" t="s">
        <v>1072</v>
      </c>
      <c r="W122" s="5"/>
      <c r="X122" s="5"/>
      <c r="Y122" s="5" t="s">
        <v>70</v>
      </c>
      <c r="Z122" s="5" t="s">
        <v>70</v>
      </c>
      <c r="AA122" s="5"/>
      <c r="AB122" s="5"/>
      <c r="AC122" s="5"/>
      <c r="AD122" s="5"/>
      <c r="AE122" s="5"/>
      <c r="AF122" s="5"/>
      <c r="AG122" s="5"/>
      <c r="AH122" s="5"/>
    </row>
    <row r="123" spans="1:34" ht="129.6" x14ac:dyDescent="0.3">
      <c r="A123" s="3">
        <v>122</v>
      </c>
      <c r="B123" s="3" t="s">
        <v>53</v>
      </c>
      <c r="C123" s="3" t="s">
        <v>950</v>
      </c>
      <c r="D123" s="3" t="s">
        <v>951</v>
      </c>
      <c r="E123" s="3" t="s">
        <v>673</v>
      </c>
      <c r="F123" s="3" t="s">
        <v>938</v>
      </c>
      <c r="G123" s="3" t="s">
        <v>939</v>
      </c>
      <c r="H123" s="3" t="s">
        <v>59</v>
      </c>
      <c r="I123" s="3" t="s">
        <v>59</v>
      </c>
      <c r="J123" s="3" t="s">
        <v>940</v>
      </c>
      <c r="K123" s="3"/>
      <c r="L123" s="3" t="s">
        <v>947</v>
      </c>
      <c r="M123" s="3" t="s">
        <v>952</v>
      </c>
      <c r="N123" s="3" t="s">
        <v>953</v>
      </c>
      <c r="O123" s="4" t="s">
        <v>63</v>
      </c>
      <c r="P123" s="4" t="s">
        <v>64</v>
      </c>
      <c r="Q123" s="3" t="s">
        <v>944</v>
      </c>
      <c r="R123" s="3" t="s">
        <v>259</v>
      </c>
      <c r="S123" s="3" t="s">
        <v>67</v>
      </c>
      <c r="T123" s="3" t="s">
        <v>68</v>
      </c>
      <c r="U123" s="3" t="s">
        <v>69</v>
      </c>
      <c r="V123" s="5" t="s">
        <v>1072</v>
      </c>
      <c r="W123" s="5"/>
      <c r="X123" s="5"/>
      <c r="Y123" s="5" t="s">
        <v>70</v>
      </c>
      <c r="Z123" s="5" t="s">
        <v>70</v>
      </c>
      <c r="AA123" s="5"/>
      <c r="AB123" s="5"/>
      <c r="AC123" s="5"/>
      <c r="AD123" s="5"/>
      <c r="AE123" s="5"/>
      <c r="AF123" s="5"/>
      <c r="AG123" s="5"/>
      <c r="AH123" s="5"/>
    </row>
    <row r="124" spans="1:34" ht="129.6" x14ac:dyDescent="0.3">
      <c r="A124" s="3">
        <v>123</v>
      </c>
      <c r="B124" s="3" t="s">
        <v>53</v>
      </c>
      <c r="C124" s="3" t="s">
        <v>954</v>
      </c>
      <c r="D124" s="3" t="s">
        <v>955</v>
      </c>
      <c r="E124" s="3" t="s">
        <v>673</v>
      </c>
      <c r="F124" s="3" t="s">
        <v>938</v>
      </c>
      <c r="G124" s="3" t="s">
        <v>939</v>
      </c>
      <c r="H124" s="3" t="s">
        <v>59</v>
      </c>
      <c r="I124" s="3" t="s">
        <v>59</v>
      </c>
      <c r="J124" s="3" t="s">
        <v>940</v>
      </c>
      <c r="K124" s="3"/>
      <c r="L124" s="3" t="s">
        <v>947</v>
      </c>
      <c r="M124" s="3" t="s">
        <v>956</v>
      </c>
      <c r="N124" s="3" t="s">
        <v>957</v>
      </c>
      <c r="O124" s="4" t="s">
        <v>63</v>
      </c>
      <c r="P124" s="4" t="s">
        <v>64</v>
      </c>
      <c r="Q124" s="3" t="s">
        <v>944</v>
      </c>
      <c r="R124" s="3" t="s">
        <v>259</v>
      </c>
      <c r="S124" s="3" t="s">
        <v>67</v>
      </c>
      <c r="T124" s="3" t="s">
        <v>68</v>
      </c>
      <c r="U124" s="3" t="s">
        <v>69</v>
      </c>
      <c r="V124" s="5" t="s">
        <v>1072</v>
      </c>
      <c r="W124" s="5"/>
      <c r="X124" s="5"/>
      <c r="Y124" s="5" t="s">
        <v>70</v>
      </c>
      <c r="Z124" s="5" t="s">
        <v>70</v>
      </c>
      <c r="AA124" s="5"/>
      <c r="AB124" s="5"/>
      <c r="AC124" s="5"/>
      <c r="AD124" s="5"/>
      <c r="AE124" s="5"/>
      <c r="AF124" s="5"/>
      <c r="AG124" s="5"/>
      <c r="AH124" s="5"/>
    </row>
    <row r="125" spans="1:34" ht="129.6" x14ac:dyDescent="0.3">
      <c r="A125" s="3">
        <v>124</v>
      </c>
      <c r="B125" s="3" t="s">
        <v>53</v>
      </c>
      <c r="C125" s="3" t="s">
        <v>958</v>
      </c>
      <c r="D125" s="3" t="s">
        <v>959</v>
      </c>
      <c r="E125" s="3" t="s">
        <v>673</v>
      </c>
      <c r="F125" s="3" t="s">
        <v>938</v>
      </c>
      <c r="G125" s="3" t="s">
        <v>939</v>
      </c>
      <c r="H125" s="3" t="s">
        <v>59</v>
      </c>
      <c r="I125" s="3" t="s">
        <v>59</v>
      </c>
      <c r="J125" s="3" t="s">
        <v>940</v>
      </c>
      <c r="K125" s="3"/>
      <c r="L125" s="3" t="s">
        <v>947</v>
      </c>
      <c r="M125" s="3" t="s">
        <v>960</v>
      </c>
      <c r="N125" s="3" t="s">
        <v>961</v>
      </c>
      <c r="O125" s="4" t="s">
        <v>63</v>
      </c>
      <c r="P125" s="4" t="s">
        <v>64</v>
      </c>
      <c r="Q125" s="3" t="s">
        <v>944</v>
      </c>
      <c r="R125" s="3" t="s">
        <v>259</v>
      </c>
      <c r="S125" s="3" t="s">
        <v>67</v>
      </c>
      <c r="T125" s="3" t="s">
        <v>68</v>
      </c>
      <c r="U125" s="3" t="s">
        <v>69</v>
      </c>
      <c r="V125" s="5" t="s">
        <v>1076</v>
      </c>
      <c r="W125" s="5"/>
      <c r="X125" s="5"/>
      <c r="Y125" s="5" t="s">
        <v>70</v>
      </c>
      <c r="Z125" s="5" t="s">
        <v>70</v>
      </c>
      <c r="AA125" s="5"/>
      <c r="AB125" s="5"/>
      <c r="AC125" s="5"/>
      <c r="AD125" s="5"/>
      <c r="AE125" s="5"/>
      <c r="AF125" s="5"/>
      <c r="AG125" s="5"/>
      <c r="AH125" s="5"/>
    </row>
    <row r="126" spans="1:34" ht="129.6" x14ac:dyDescent="0.3">
      <c r="A126" s="3">
        <v>125</v>
      </c>
      <c r="B126" s="3" t="s">
        <v>53</v>
      </c>
      <c r="C126" s="3" t="s">
        <v>962</v>
      </c>
      <c r="D126" s="3" t="s">
        <v>963</v>
      </c>
      <c r="E126" s="3" t="s">
        <v>673</v>
      </c>
      <c r="F126" s="3" t="s">
        <v>938</v>
      </c>
      <c r="G126" s="3" t="s">
        <v>939</v>
      </c>
      <c r="H126" s="3" t="s">
        <v>59</v>
      </c>
      <c r="I126" s="3" t="s">
        <v>59</v>
      </c>
      <c r="J126" s="3" t="s">
        <v>940</v>
      </c>
      <c r="K126" s="3"/>
      <c r="L126" s="3" t="s">
        <v>947</v>
      </c>
      <c r="M126" s="3" t="s">
        <v>964</v>
      </c>
      <c r="N126" s="3" t="s">
        <v>965</v>
      </c>
      <c r="O126" s="4" t="s">
        <v>63</v>
      </c>
      <c r="P126" s="4" t="s">
        <v>64</v>
      </c>
      <c r="Q126" s="3" t="s">
        <v>944</v>
      </c>
      <c r="R126" s="3" t="s">
        <v>259</v>
      </c>
      <c r="S126" s="3" t="s">
        <v>67</v>
      </c>
      <c r="T126" s="3" t="s">
        <v>68</v>
      </c>
      <c r="U126" s="3" t="s">
        <v>69</v>
      </c>
      <c r="V126" s="5" t="s">
        <v>1076</v>
      </c>
      <c r="W126" s="5"/>
      <c r="X126" s="5"/>
      <c r="Y126" s="5" t="s">
        <v>70</v>
      </c>
      <c r="Z126" s="5" t="s">
        <v>70</v>
      </c>
      <c r="AA126" s="5"/>
      <c r="AB126" s="5"/>
      <c r="AC126" s="5"/>
      <c r="AD126" s="5"/>
      <c r="AE126" s="5"/>
      <c r="AF126" s="5"/>
      <c r="AG126" s="5"/>
      <c r="AH126" s="5"/>
    </row>
    <row r="127" spans="1:34" ht="129.6" x14ac:dyDescent="0.3">
      <c r="A127" s="3">
        <v>126</v>
      </c>
      <c r="B127" s="3" t="s">
        <v>53</v>
      </c>
      <c r="C127" s="3" t="s">
        <v>966</v>
      </c>
      <c r="D127" s="3" t="s">
        <v>967</v>
      </c>
      <c r="E127" s="3" t="s">
        <v>673</v>
      </c>
      <c r="F127" s="3" t="s">
        <v>938</v>
      </c>
      <c r="G127" s="3" t="s">
        <v>939</v>
      </c>
      <c r="H127" s="3" t="s">
        <v>59</v>
      </c>
      <c r="I127" s="3" t="s">
        <v>59</v>
      </c>
      <c r="J127" s="3" t="s">
        <v>940</v>
      </c>
      <c r="K127" s="3"/>
      <c r="L127" s="3" t="s">
        <v>947</v>
      </c>
      <c r="M127" s="3" t="s">
        <v>968</v>
      </c>
      <c r="N127" s="3" t="s">
        <v>969</v>
      </c>
      <c r="O127" s="4" t="s">
        <v>63</v>
      </c>
      <c r="P127" s="4" t="s">
        <v>64</v>
      </c>
      <c r="Q127" s="3" t="s">
        <v>944</v>
      </c>
      <c r="R127" s="3" t="s">
        <v>259</v>
      </c>
      <c r="S127" s="3" t="s">
        <v>67</v>
      </c>
      <c r="T127" s="3" t="s">
        <v>68</v>
      </c>
      <c r="U127" s="3" t="s">
        <v>69</v>
      </c>
      <c r="V127" s="5" t="s">
        <v>1076</v>
      </c>
      <c r="W127" s="5"/>
      <c r="X127" s="5"/>
      <c r="Y127" s="5" t="s">
        <v>70</v>
      </c>
      <c r="Z127" s="5" t="s">
        <v>70</v>
      </c>
      <c r="AA127" s="5"/>
      <c r="AB127" s="5"/>
      <c r="AC127" s="5"/>
      <c r="AD127" s="5"/>
      <c r="AE127" s="5"/>
      <c r="AF127" s="5"/>
      <c r="AG127" s="5"/>
      <c r="AH127" s="5"/>
    </row>
    <row r="128" spans="1:34" ht="43.2" x14ac:dyDescent="0.3">
      <c r="A128" s="3">
        <v>127</v>
      </c>
      <c r="B128" s="3" t="s">
        <v>53</v>
      </c>
      <c r="C128" s="3" t="s">
        <v>970</v>
      </c>
      <c r="D128" s="3" t="s">
        <v>971</v>
      </c>
      <c r="E128" s="3" t="s">
        <v>972</v>
      </c>
      <c r="F128" s="3" t="s">
        <v>938</v>
      </c>
      <c r="G128" s="3" t="s">
        <v>939</v>
      </c>
      <c r="H128" s="3" t="s">
        <v>59</v>
      </c>
      <c r="I128" s="3" t="s">
        <v>59</v>
      </c>
      <c r="J128" s="3" t="s">
        <v>940</v>
      </c>
      <c r="K128" s="3"/>
      <c r="L128" s="3"/>
      <c r="M128" s="3" t="s">
        <v>973</v>
      </c>
      <c r="N128" s="3" t="s">
        <v>974</v>
      </c>
      <c r="O128" s="4" t="s">
        <v>63</v>
      </c>
      <c r="P128" s="4" t="s">
        <v>64</v>
      </c>
      <c r="Q128" s="3" t="s">
        <v>944</v>
      </c>
      <c r="R128" s="3" t="s">
        <v>679</v>
      </c>
      <c r="S128" s="3" t="s">
        <v>67</v>
      </c>
      <c r="T128" s="3" t="s">
        <v>68</v>
      </c>
      <c r="U128" s="3" t="s">
        <v>69</v>
      </c>
      <c r="V128" s="5" t="s">
        <v>1076</v>
      </c>
      <c r="W128" s="5"/>
      <c r="X128" s="5"/>
      <c r="Y128" s="5" t="s">
        <v>70</v>
      </c>
      <c r="Z128" s="5" t="s">
        <v>70</v>
      </c>
      <c r="AA128" s="5"/>
      <c r="AB128" s="5"/>
      <c r="AC128" s="5"/>
      <c r="AD128" s="5"/>
      <c r="AE128" s="5"/>
      <c r="AF128" s="5"/>
      <c r="AG128" s="5"/>
      <c r="AH128" s="5"/>
    </row>
    <row r="129" spans="1:34" ht="43.2" x14ac:dyDescent="0.3">
      <c r="A129" s="3">
        <v>128</v>
      </c>
      <c r="B129" s="3" t="s">
        <v>53</v>
      </c>
      <c r="C129" s="3" t="s">
        <v>975</v>
      </c>
      <c r="D129" s="3" t="s">
        <v>976</v>
      </c>
      <c r="E129" s="3" t="s">
        <v>977</v>
      </c>
      <c r="F129" s="3" t="s">
        <v>978</v>
      </c>
      <c r="G129" s="3" t="s">
        <v>979</v>
      </c>
      <c r="H129" s="3" t="s">
        <v>59</v>
      </c>
      <c r="I129" s="3" t="s">
        <v>59</v>
      </c>
      <c r="J129" s="3" t="s">
        <v>980</v>
      </c>
      <c r="K129" s="3"/>
      <c r="L129" s="3"/>
      <c r="M129" s="3" t="s">
        <v>981</v>
      </c>
      <c r="N129" s="3" t="s">
        <v>982</v>
      </c>
      <c r="O129" s="4" t="s">
        <v>63</v>
      </c>
      <c r="P129" s="4" t="s">
        <v>64</v>
      </c>
      <c r="Q129" s="3" t="s">
        <v>983</v>
      </c>
      <c r="R129" s="3" t="s">
        <v>679</v>
      </c>
      <c r="S129" s="3" t="s">
        <v>67</v>
      </c>
      <c r="T129" s="3" t="s">
        <v>68</v>
      </c>
      <c r="U129" s="3" t="s">
        <v>69</v>
      </c>
      <c r="V129" s="5" t="s">
        <v>1072</v>
      </c>
      <c r="W129" s="5"/>
      <c r="X129" s="5"/>
      <c r="Y129" s="5" t="s">
        <v>70</v>
      </c>
      <c r="Z129" s="5" t="s">
        <v>70</v>
      </c>
      <c r="AA129" s="5"/>
      <c r="AB129" s="5"/>
      <c r="AC129" s="5"/>
      <c r="AD129" s="5"/>
      <c r="AE129" s="5"/>
      <c r="AF129" s="5"/>
      <c r="AG129" s="5"/>
      <c r="AH129" s="5"/>
    </row>
    <row r="130" spans="1:34" ht="57.6" x14ac:dyDescent="0.3">
      <c r="A130" s="3">
        <v>129</v>
      </c>
      <c r="B130" s="3" t="s">
        <v>53</v>
      </c>
      <c r="C130" s="3" t="s">
        <v>984</v>
      </c>
      <c r="D130" s="3" t="s">
        <v>985</v>
      </c>
      <c r="E130" s="3" t="s">
        <v>986</v>
      </c>
      <c r="F130" s="3" t="s">
        <v>987</v>
      </c>
      <c r="G130" s="3" t="s">
        <v>988</v>
      </c>
      <c r="H130" s="3" t="s">
        <v>59</v>
      </c>
      <c r="I130" s="3" t="s">
        <v>59</v>
      </c>
      <c r="J130" s="3" t="s">
        <v>989</v>
      </c>
      <c r="K130" s="3"/>
      <c r="L130" s="3" t="s">
        <v>990</v>
      </c>
      <c r="M130" s="3" t="s">
        <v>991</v>
      </c>
      <c r="N130" s="3" t="s">
        <v>992</v>
      </c>
      <c r="O130" s="4" t="s">
        <v>63</v>
      </c>
      <c r="P130" s="4" t="s">
        <v>64</v>
      </c>
      <c r="Q130" s="3" t="s">
        <v>303</v>
      </c>
      <c r="R130" s="3" t="s">
        <v>629</v>
      </c>
      <c r="S130" s="3" t="s">
        <v>67</v>
      </c>
      <c r="T130" s="3" t="s">
        <v>68</v>
      </c>
      <c r="U130" s="3" t="s">
        <v>69</v>
      </c>
      <c r="V130" s="5" t="s">
        <v>1077</v>
      </c>
      <c r="W130" s="5"/>
      <c r="X130" s="5"/>
      <c r="Y130" s="5" t="s">
        <v>70</v>
      </c>
      <c r="Z130" s="5" t="s">
        <v>70</v>
      </c>
      <c r="AA130" s="5"/>
      <c r="AB130" s="5"/>
      <c r="AC130" s="5"/>
      <c r="AD130" s="5"/>
      <c r="AE130" s="5"/>
      <c r="AF130" s="5"/>
      <c r="AG130" s="5"/>
      <c r="AH130" s="5"/>
    </row>
    <row r="131" spans="1:34" ht="100.8" x14ac:dyDescent="0.3">
      <c r="A131" s="3">
        <v>130</v>
      </c>
      <c r="B131" s="3" t="s">
        <v>53</v>
      </c>
      <c r="C131" s="3" t="s">
        <v>993</v>
      </c>
      <c r="D131" s="3" t="s">
        <v>994</v>
      </c>
      <c r="E131" s="3" t="s">
        <v>325</v>
      </c>
      <c r="F131" s="3" t="s">
        <v>987</v>
      </c>
      <c r="G131" s="3" t="s">
        <v>988</v>
      </c>
      <c r="H131" s="3" t="s">
        <v>59</v>
      </c>
      <c r="I131" s="3" t="s">
        <v>59</v>
      </c>
      <c r="J131" s="3" t="s">
        <v>989</v>
      </c>
      <c r="K131" s="3"/>
      <c r="L131" s="3" t="s">
        <v>864</v>
      </c>
      <c r="M131" s="3" t="s">
        <v>995</v>
      </c>
      <c r="N131" s="3" t="s">
        <v>996</v>
      </c>
      <c r="O131" s="4" t="s">
        <v>63</v>
      </c>
      <c r="P131" s="4" t="s">
        <v>64</v>
      </c>
      <c r="Q131" s="3" t="s">
        <v>303</v>
      </c>
      <c r="R131" s="3" t="s">
        <v>997</v>
      </c>
      <c r="S131" s="3" t="s">
        <v>67</v>
      </c>
      <c r="T131" s="3" t="s">
        <v>68</v>
      </c>
      <c r="U131" s="3" t="s">
        <v>69</v>
      </c>
      <c r="V131" s="5" t="s">
        <v>1072</v>
      </c>
      <c r="W131" s="5"/>
      <c r="X131" s="5"/>
      <c r="Y131" s="5" t="s">
        <v>70</v>
      </c>
      <c r="Z131" s="5" t="s">
        <v>70</v>
      </c>
      <c r="AA131" s="5"/>
      <c r="AB131" s="5"/>
      <c r="AC131" s="5"/>
      <c r="AD131" s="5"/>
      <c r="AE131" s="5"/>
      <c r="AF131" s="5"/>
      <c r="AG131" s="5"/>
      <c r="AH131" s="5"/>
    </row>
    <row r="132" spans="1:34" ht="43.2" x14ac:dyDescent="0.3">
      <c r="A132" s="3">
        <v>131</v>
      </c>
      <c r="B132" s="3" t="s">
        <v>53</v>
      </c>
      <c r="C132" s="3" t="s">
        <v>998</v>
      </c>
      <c r="D132" s="3" t="s">
        <v>999</v>
      </c>
      <c r="E132" s="3" t="s">
        <v>297</v>
      </c>
      <c r="F132" s="3" t="s">
        <v>987</v>
      </c>
      <c r="G132" s="3" t="s">
        <v>988</v>
      </c>
      <c r="H132" s="3" t="s">
        <v>59</v>
      </c>
      <c r="I132" s="3" t="s">
        <v>59</v>
      </c>
      <c r="J132" s="3" t="s">
        <v>1000</v>
      </c>
      <c r="K132" s="3"/>
      <c r="L132" s="3"/>
      <c r="M132" s="3" t="s">
        <v>1001</v>
      </c>
      <c r="N132" s="3" t="s">
        <v>1002</v>
      </c>
      <c r="O132" s="4" t="s">
        <v>63</v>
      </c>
      <c r="P132" s="4" t="s">
        <v>64</v>
      </c>
      <c r="Q132" s="3" t="s">
        <v>303</v>
      </c>
      <c r="R132" s="3" t="s">
        <v>80</v>
      </c>
      <c r="S132" s="3" t="s">
        <v>67</v>
      </c>
      <c r="T132" s="3" t="s">
        <v>68</v>
      </c>
      <c r="U132" s="3" t="s">
        <v>69</v>
      </c>
      <c r="V132" s="5" t="s">
        <v>1076</v>
      </c>
      <c r="W132" s="5"/>
      <c r="X132" s="5"/>
      <c r="Y132" s="5" t="s">
        <v>70</v>
      </c>
      <c r="Z132" s="5" t="s">
        <v>70</v>
      </c>
      <c r="AA132" s="5"/>
      <c r="AB132" s="5"/>
      <c r="AC132" s="5"/>
      <c r="AD132" s="5"/>
      <c r="AE132" s="5"/>
      <c r="AF132" s="5"/>
      <c r="AG132" s="5"/>
      <c r="AH132" s="5"/>
    </row>
    <row r="133" spans="1:34" ht="100.8" x14ac:dyDescent="0.3">
      <c r="A133" s="3">
        <v>132</v>
      </c>
      <c r="B133" s="3" t="s">
        <v>53</v>
      </c>
      <c r="C133" s="3" t="s">
        <v>1003</v>
      </c>
      <c r="D133" s="3" t="s">
        <v>1004</v>
      </c>
      <c r="E133" s="3" t="s">
        <v>1005</v>
      </c>
      <c r="F133" s="3" t="s">
        <v>1006</v>
      </c>
      <c r="G133" s="3" t="s">
        <v>1007</v>
      </c>
      <c r="H133" s="3" t="s">
        <v>59</v>
      </c>
      <c r="I133" s="3" t="s">
        <v>59</v>
      </c>
      <c r="J133" s="3" t="s">
        <v>1008</v>
      </c>
      <c r="K133" s="3"/>
      <c r="L133" s="3" t="s">
        <v>1009</v>
      </c>
      <c r="M133" s="3" t="s">
        <v>1010</v>
      </c>
      <c r="N133" s="3" t="s">
        <v>1011</v>
      </c>
      <c r="O133" s="4" t="s">
        <v>63</v>
      </c>
      <c r="P133" s="4" t="s">
        <v>64</v>
      </c>
      <c r="Q133" s="3" t="s">
        <v>1012</v>
      </c>
      <c r="R133" s="3" t="s">
        <v>1013</v>
      </c>
      <c r="S133" s="3" t="s">
        <v>67</v>
      </c>
      <c r="T133" s="3" t="s">
        <v>68</v>
      </c>
      <c r="U133" s="3" t="s">
        <v>69</v>
      </c>
      <c r="V133" s="5" t="s">
        <v>1076</v>
      </c>
      <c r="W133" s="5"/>
      <c r="X133" s="5"/>
      <c r="Y133" s="5" t="s">
        <v>70</v>
      </c>
      <c r="Z133" s="5" t="s">
        <v>70</v>
      </c>
      <c r="AA133" s="5"/>
      <c r="AB133" s="5"/>
      <c r="AC133" s="5"/>
      <c r="AD133" s="5"/>
      <c r="AE133" s="5"/>
      <c r="AF133" s="5"/>
      <c r="AG133" s="5"/>
      <c r="AH133" s="5"/>
    </row>
    <row r="134" spans="1:34" ht="144" x14ac:dyDescent="0.3">
      <c r="A134" s="3">
        <v>133</v>
      </c>
      <c r="B134" s="3" t="s">
        <v>53</v>
      </c>
      <c r="C134" s="3" t="s">
        <v>1014</v>
      </c>
      <c r="D134" s="3" t="s">
        <v>1015</v>
      </c>
      <c r="E134" s="3" t="s">
        <v>1016</v>
      </c>
      <c r="F134" s="3" t="s">
        <v>252</v>
      </c>
      <c r="G134" s="3" t="s">
        <v>253</v>
      </c>
      <c r="H134" s="3" t="s">
        <v>59</v>
      </c>
      <c r="I134" s="3" t="s">
        <v>59</v>
      </c>
      <c r="J134" s="3" t="s">
        <v>1017</v>
      </c>
      <c r="K134" s="3"/>
      <c r="L134" s="3" t="s">
        <v>1018</v>
      </c>
      <c r="M134" s="3" t="s">
        <v>1019</v>
      </c>
      <c r="N134" s="3" t="s">
        <v>1020</v>
      </c>
      <c r="O134" s="4" t="s">
        <v>63</v>
      </c>
      <c r="P134" s="4" t="s">
        <v>64</v>
      </c>
      <c r="Q134" s="3" t="s">
        <v>221</v>
      </c>
      <c r="R134" s="3" t="s">
        <v>629</v>
      </c>
      <c r="S134" s="3" t="s">
        <v>67</v>
      </c>
      <c r="T134" s="3" t="s">
        <v>68</v>
      </c>
      <c r="U134" s="3" t="s">
        <v>69</v>
      </c>
      <c r="V134" s="5" t="s">
        <v>1072</v>
      </c>
      <c r="W134" s="5"/>
      <c r="X134" s="5"/>
      <c r="Y134" s="5" t="s">
        <v>70</v>
      </c>
      <c r="Z134" s="5" t="s">
        <v>70</v>
      </c>
      <c r="AA134" s="5"/>
      <c r="AB134" s="5"/>
      <c r="AC134" s="5"/>
      <c r="AD134" s="5"/>
      <c r="AE134" s="5"/>
      <c r="AF134" s="5"/>
      <c r="AG134" s="5"/>
      <c r="AH134" s="5"/>
    </row>
    <row r="135" spans="1:34" ht="100.8" x14ac:dyDescent="0.3">
      <c r="A135" s="3">
        <v>134</v>
      </c>
      <c r="B135" s="3" t="s">
        <v>53</v>
      </c>
      <c r="C135" s="3" t="s">
        <v>1021</v>
      </c>
      <c r="D135" s="3" t="s">
        <v>1022</v>
      </c>
      <c r="E135" s="3" t="s">
        <v>1023</v>
      </c>
      <c r="F135" s="3" t="s">
        <v>1024</v>
      </c>
      <c r="G135" s="3" t="s">
        <v>1025</v>
      </c>
      <c r="H135" s="3" t="s">
        <v>59</v>
      </c>
      <c r="I135" s="3" t="s">
        <v>59</v>
      </c>
      <c r="J135" s="3" t="s">
        <v>1026</v>
      </c>
      <c r="K135" s="3"/>
      <c r="L135" s="3" t="s">
        <v>1027</v>
      </c>
      <c r="M135" s="3" t="s">
        <v>1028</v>
      </c>
      <c r="N135" s="3" t="s">
        <v>1029</v>
      </c>
      <c r="O135" s="4" t="s">
        <v>63</v>
      </c>
      <c r="P135" s="4" t="s">
        <v>64</v>
      </c>
      <c r="Q135" s="3" t="s">
        <v>1030</v>
      </c>
      <c r="R135" s="3" t="s">
        <v>80</v>
      </c>
      <c r="S135" s="3" t="s">
        <v>67</v>
      </c>
      <c r="T135" s="3" t="s">
        <v>68</v>
      </c>
      <c r="U135" s="3" t="s">
        <v>69</v>
      </c>
      <c r="V135" s="5" t="s">
        <v>1076</v>
      </c>
      <c r="W135" s="5"/>
      <c r="X135" s="5"/>
      <c r="Y135" s="5" t="s">
        <v>70</v>
      </c>
      <c r="Z135" s="5" t="s">
        <v>70</v>
      </c>
      <c r="AA135" s="5"/>
      <c r="AB135" s="5"/>
      <c r="AC135" s="5"/>
      <c r="AD135" s="5"/>
      <c r="AE135" s="5"/>
      <c r="AF135" s="5"/>
      <c r="AG135" s="5"/>
      <c r="AH135" s="5"/>
    </row>
    <row r="136" spans="1:34" ht="100.8" x14ac:dyDescent="0.3">
      <c r="A136" s="3">
        <v>135</v>
      </c>
      <c r="B136" s="3" t="s">
        <v>53</v>
      </c>
      <c r="C136" s="3" t="s">
        <v>1031</v>
      </c>
      <c r="D136" s="3" t="s">
        <v>1032</v>
      </c>
      <c r="E136" s="3" t="s">
        <v>170</v>
      </c>
      <c r="F136" s="3" t="s">
        <v>1033</v>
      </c>
      <c r="G136" s="3" t="s">
        <v>666</v>
      </c>
      <c r="H136" s="3" t="s">
        <v>59</v>
      </c>
      <c r="I136" s="3" t="s">
        <v>59</v>
      </c>
      <c r="J136" s="3" t="s">
        <v>1034</v>
      </c>
      <c r="K136" s="3"/>
      <c r="L136" s="3" t="s">
        <v>1035</v>
      </c>
      <c r="M136" s="3" t="s">
        <v>1036</v>
      </c>
      <c r="N136" s="3" t="s">
        <v>1037</v>
      </c>
      <c r="O136" s="4" t="s">
        <v>63</v>
      </c>
      <c r="P136" s="4" t="s">
        <v>64</v>
      </c>
      <c r="Q136" s="3" t="s">
        <v>1038</v>
      </c>
      <c r="R136" s="3" t="s">
        <v>87</v>
      </c>
      <c r="S136" s="3" t="s">
        <v>67</v>
      </c>
      <c r="T136" s="3" t="s">
        <v>68</v>
      </c>
      <c r="U136" s="3" t="s">
        <v>69</v>
      </c>
      <c r="V136" s="5" t="s">
        <v>1076</v>
      </c>
      <c r="W136" s="5"/>
      <c r="X136" s="5"/>
      <c r="Y136" s="5" t="s">
        <v>70</v>
      </c>
      <c r="Z136" s="5" t="s">
        <v>70</v>
      </c>
      <c r="AA136" s="5"/>
      <c r="AB136" s="5"/>
      <c r="AC136" s="5"/>
      <c r="AD136" s="5"/>
      <c r="AE136" s="5"/>
      <c r="AF136" s="5"/>
      <c r="AG136" s="5"/>
      <c r="AH136" s="5"/>
    </row>
    <row r="137" spans="1:34" ht="129.6" x14ac:dyDescent="0.3">
      <c r="A137" s="3">
        <v>136</v>
      </c>
      <c r="B137" s="3" t="s">
        <v>53</v>
      </c>
      <c r="C137" s="3" t="s">
        <v>1039</v>
      </c>
      <c r="D137" s="3" t="s">
        <v>1040</v>
      </c>
      <c r="E137" s="3" t="s">
        <v>1041</v>
      </c>
      <c r="F137" s="3" t="s">
        <v>1033</v>
      </c>
      <c r="G137" s="3" t="s">
        <v>1042</v>
      </c>
      <c r="H137" s="3" t="s">
        <v>59</v>
      </c>
      <c r="I137" s="3" t="s">
        <v>59</v>
      </c>
      <c r="J137" s="3" t="s">
        <v>1043</v>
      </c>
      <c r="K137" s="3"/>
      <c r="L137" s="3" t="s">
        <v>1044</v>
      </c>
      <c r="M137" s="3" t="s">
        <v>1045</v>
      </c>
      <c r="N137" s="3" t="s">
        <v>1046</v>
      </c>
      <c r="O137" s="4" t="s">
        <v>63</v>
      </c>
      <c r="P137" s="4" t="s">
        <v>64</v>
      </c>
      <c r="Q137" s="3" t="s">
        <v>1038</v>
      </c>
      <c r="R137" s="3" t="s">
        <v>1047</v>
      </c>
      <c r="S137" s="3" t="s">
        <v>67</v>
      </c>
      <c r="T137" s="3" t="s">
        <v>68</v>
      </c>
      <c r="U137" s="3" t="s">
        <v>69</v>
      </c>
      <c r="V137" s="5" t="s">
        <v>1072</v>
      </c>
      <c r="W137" s="5"/>
      <c r="X137" s="5"/>
      <c r="Y137" s="5" t="s">
        <v>70</v>
      </c>
      <c r="Z137" s="5" t="s">
        <v>70</v>
      </c>
      <c r="AA137" s="5"/>
      <c r="AB137" s="5"/>
      <c r="AC137" s="5"/>
      <c r="AD137" s="5"/>
      <c r="AE137" s="5"/>
      <c r="AF137" s="5"/>
      <c r="AG137" s="5"/>
      <c r="AH137" s="5"/>
    </row>
    <row r="138" spans="1:34" ht="172.8" x14ac:dyDescent="0.3">
      <c r="A138" s="3">
        <v>137</v>
      </c>
      <c r="B138" s="3" t="s">
        <v>53</v>
      </c>
      <c r="C138" s="3" t="s">
        <v>1048</v>
      </c>
      <c r="D138" s="3" t="s">
        <v>1049</v>
      </c>
      <c r="E138" s="3" t="s">
        <v>232</v>
      </c>
      <c r="F138" s="3" t="s">
        <v>1050</v>
      </c>
      <c r="G138" s="3" t="s">
        <v>1051</v>
      </c>
      <c r="H138" s="3" t="s">
        <v>59</v>
      </c>
      <c r="I138" s="3" t="s">
        <v>59</v>
      </c>
      <c r="J138" s="3" t="s">
        <v>1052</v>
      </c>
      <c r="K138" s="3"/>
      <c r="L138" s="3" t="s">
        <v>1053</v>
      </c>
      <c r="M138" s="3" t="s">
        <v>1054</v>
      </c>
      <c r="N138" s="3" t="s">
        <v>1055</v>
      </c>
      <c r="O138" s="4" t="s">
        <v>63</v>
      </c>
      <c r="P138" s="4" t="s">
        <v>64</v>
      </c>
      <c r="Q138" s="3" t="s">
        <v>176</v>
      </c>
      <c r="R138" s="3" t="s">
        <v>80</v>
      </c>
      <c r="S138" s="3" t="s">
        <v>67</v>
      </c>
      <c r="T138" s="3" t="s">
        <v>68</v>
      </c>
      <c r="U138" s="3" t="s">
        <v>69</v>
      </c>
      <c r="V138" s="5" t="s">
        <v>1075</v>
      </c>
      <c r="W138" s="5"/>
      <c r="X138" s="5"/>
      <c r="Y138" s="5" t="s">
        <v>70</v>
      </c>
      <c r="Z138" s="5" t="s">
        <v>70</v>
      </c>
      <c r="AA138" s="5"/>
      <c r="AB138" s="5"/>
      <c r="AC138" s="5"/>
      <c r="AD138" s="5"/>
      <c r="AE138" s="5"/>
      <c r="AF138" s="5"/>
      <c r="AG138" s="5"/>
      <c r="AH138" s="5"/>
    </row>
    <row r="139" spans="1:34" ht="144" x14ac:dyDescent="0.3">
      <c r="A139" s="3">
        <v>138</v>
      </c>
      <c r="B139" s="3" t="s">
        <v>53</v>
      </c>
      <c r="C139" s="3" t="s">
        <v>1056</v>
      </c>
      <c r="D139" s="3" t="s">
        <v>1057</v>
      </c>
      <c r="E139" s="3" t="s">
        <v>232</v>
      </c>
      <c r="F139" s="3" t="s">
        <v>1058</v>
      </c>
      <c r="G139" s="3" t="s">
        <v>172</v>
      </c>
      <c r="H139" s="3" t="s">
        <v>59</v>
      </c>
      <c r="I139" s="3" t="s">
        <v>59</v>
      </c>
      <c r="J139" s="3" t="s">
        <v>173</v>
      </c>
      <c r="K139" s="3"/>
      <c r="L139" s="3" t="s">
        <v>1059</v>
      </c>
      <c r="M139" s="3" t="s">
        <v>1060</v>
      </c>
      <c r="N139" s="3" t="s">
        <v>1061</v>
      </c>
      <c r="O139" s="4" t="s">
        <v>63</v>
      </c>
      <c r="P139" s="4" t="s">
        <v>64</v>
      </c>
      <c r="Q139" s="3" t="s">
        <v>176</v>
      </c>
      <c r="R139" s="3" t="s">
        <v>80</v>
      </c>
      <c r="S139" s="3" t="s">
        <v>67</v>
      </c>
      <c r="T139" s="3" t="s">
        <v>68</v>
      </c>
      <c r="U139" s="3" t="s">
        <v>69</v>
      </c>
      <c r="V139" s="5" t="s">
        <v>1075</v>
      </c>
      <c r="W139" s="5"/>
      <c r="X139" s="5"/>
      <c r="Y139" s="5" t="s">
        <v>70</v>
      </c>
      <c r="Z139" s="5" t="s">
        <v>70</v>
      </c>
      <c r="AA139" s="5"/>
      <c r="AB139" s="5"/>
      <c r="AC139" s="5"/>
      <c r="AD139" s="5"/>
      <c r="AE139" s="5"/>
      <c r="AF139" s="5"/>
      <c r="AG139" s="5"/>
      <c r="AH139" s="5"/>
    </row>
  </sheetData>
  <autoFilter ref="A1:AH139" xr:uid="{00000000-0009-0000-0000-000001000000}"/>
  <conditionalFormatting sqref="V2:V139">
    <cfRule type="expression" dxfId="1" priority="1">
      <formula>ISNUMBER(SEARCH("descartar",V2))</formula>
    </cfRule>
  </conditionalFormatting>
  <conditionalFormatting sqref="Y2:Y139">
    <cfRule type="expression" dxfId="0" priority="2">
      <formula>Y2="si"</formula>
    </cfRule>
  </conditionalFormatting>
  <hyperlinks>
    <hyperlink ref="O2" r:id="rId1" xr:uid="{00000000-0004-0000-0100-000000000000}"/>
    <hyperlink ref="P2" r:id="rId2" xr:uid="{00000000-0004-0000-0100-000001000000}"/>
    <hyperlink ref="O3" r:id="rId3" xr:uid="{00000000-0004-0000-0100-000002000000}"/>
    <hyperlink ref="P3" r:id="rId4" xr:uid="{00000000-0004-0000-0100-000003000000}"/>
    <hyperlink ref="O4" r:id="rId5" xr:uid="{00000000-0004-0000-0100-000004000000}"/>
    <hyperlink ref="P4" r:id="rId6" xr:uid="{00000000-0004-0000-0100-000005000000}"/>
    <hyperlink ref="O5" r:id="rId7" xr:uid="{00000000-0004-0000-0100-000006000000}"/>
    <hyperlink ref="P5" r:id="rId8" xr:uid="{00000000-0004-0000-0100-000007000000}"/>
    <hyperlink ref="O6" r:id="rId9" xr:uid="{00000000-0004-0000-0100-000008000000}"/>
    <hyperlink ref="P6" r:id="rId10" xr:uid="{00000000-0004-0000-0100-000009000000}"/>
    <hyperlink ref="O7" r:id="rId11" xr:uid="{00000000-0004-0000-0100-00000A000000}"/>
    <hyperlink ref="P7" r:id="rId12" xr:uid="{00000000-0004-0000-0100-00000B000000}"/>
    <hyperlink ref="O8" r:id="rId13" xr:uid="{00000000-0004-0000-0100-00000C000000}"/>
    <hyperlink ref="P8" r:id="rId14" xr:uid="{00000000-0004-0000-0100-00000D000000}"/>
    <hyperlink ref="O9" r:id="rId15" xr:uid="{00000000-0004-0000-0100-00000E000000}"/>
    <hyperlink ref="P9" r:id="rId16" xr:uid="{00000000-0004-0000-0100-00000F000000}"/>
    <hyperlink ref="O10" r:id="rId17" xr:uid="{00000000-0004-0000-0100-000010000000}"/>
    <hyperlink ref="P10" r:id="rId18" xr:uid="{00000000-0004-0000-0100-000011000000}"/>
    <hyperlink ref="O11" r:id="rId19" xr:uid="{00000000-0004-0000-0100-000012000000}"/>
    <hyperlink ref="P11" r:id="rId20" xr:uid="{00000000-0004-0000-0100-000013000000}"/>
    <hyperlink ref="O12" r:id="rId21" xr:uid="{00000000-0004-0000-0100-000014000000}"/>
    <hyperlink ref="P12" r:id="rId22" xr:uid="{00000000-0004-0000-0100-000015000000}"/>
    <hyperlink ref="O13" r:id="rId23" xr:uid="{00000000-0004-0000-0100-000016000000}"/>
    <hyperlink ref="P13" r:id="rId24" xr:uid="{00000000-0004-0000-0100-000017000000}"/>
    <hyperlink ref="O14" r:id="rId25" xr:uid="{00000000-0004-0000-0100-000018000000}"/>
    <hyperlink ref="P14" r:id="rId26" xr:uid="{00000000-0004-0000-0100-000019000000}"/>
    <hyperlink ref="O15" r:id="rId27" xr:uid="{00000000-0004-0000-0100-00001A000000}"/>
    <hyperlink ref="P15" r:id="rId28" xr:uid="{00000000-0004-0000-0100-00001B000000}"/>
    <hyperlink ref="O16" r:id="rId29" xr:uid="{00000000-0004-0000-0100-00001C000000}"/>
    <hyperlink ref="P16" r:id="rId30" xr:uid="{00000000-0004-0000-0100-00001D000000}"/>
    <hyperlink ref="O17" r:id="rId31" xr:uid="{00000000-0004-0000-0100-00001E000000}"/>
    <hyperlink ref="P17" r:id="rId32" xr:uid="{00000000-0004-0000-0100-00001F000000}"/>
    <hyperlink ref="O18" r:id="rId33" xr:uid="{00000000-0004-0000-0100-000020000000}"/>
    <hyperlink ref="P18" r:id="rId34" xr:uid="{00000000-0004-0000-0100-000021000000}"/>
    <hyperlink ref="O19" r:id="rId35" xr:uid="{00000000-0004-0000-0100-000022000000}"/>
    <hyperlink ref="P19" r:id="rId36" xr:uid="{00000000-0004-0000-0100-000023000000}"/>
    <hyperlink ref="O20" r:id="rId37" xr:uid="{00000000-0004-0000-0100-000024000000}"/>
    <hyperlink ref="P20" r:id="rId38" xr:uid="{00000000-0004-0000-0100-000025000000}"/>
    <hyperlink ref="O21" r:id="rId39" xr:uid="{00000000-0004-0000-0100-000026000000}"/>
    <hyperlink ref="P21" r:id="rId40" xr:uid="{00000000-0004-0000-0100-000027000000}"/>
    <hyperlink ref="O22" r:id="rId41" xr:uid="{00000000-0004-0000-0100-000028000000}"/>
    <hyperlink ref="P22" r:id="rId42" xr:uid="{00000000-0004-0000-0100-000029000000}"/>
    <hyperlink ref="O23" r:id="rId43" xr:uid="{00000000-0004-0000-0100-00002A000000}"/>
    <hyperlink ref="P23" r:id="rId44" xr:uid="{00000000-0004-0000-0100-00002B000000}"/>
    <hyperlink ref="O24" r:id="rId45" xr:uid="{00000000-0004-0000-0100-00002C000000}"/>
    <hyperlink ref="P24" r:id="rId46" xr:uid="{00000000-0004-0000-0100-00002D000000}"/>
    <hyperlink ref="O25" r:id="rId47" xr:uid="{00000000-0004-0000-0100-00002E000000}"/>
    <hyperlink ref="P25" r:id="rId48" xr:uid="{00000000-0004-0000-0100-00002F000000}"/>
    <hyperlink ref="O26" r:id="rId49" xr:uid="{00000000-0004-0000-0100-000030000000}"/>
    <hyperlink ref="P26" r:id="rId50" xr:uid="{00000000-0004-0000-0100-000031000000}"/>
    <hyperlink ref="O27" r:id="rId51" xr:uid="{00000000-0004-0000-0100-000032000000}"/>
    <hyperlink ref="P27" r:id="rId52" xr:uid="{00000000-0004-0000-0100-000033000000}"/>
    <hyperlink ref="O28" r:id="rId53" xr:uid="{00000000-0004-0000-0100-000034000000}"/>
    <hyperlink ref="P28" r:id="rId54" xr:uid="{00000000-0004-0000-0100-000035000000}"/>
    <hyperlink ref="O29" r:id="rId55" xr:uid="{00000000-0004-0000-0100-000036000000}"/>
    <hyperlink ref="P29" r:id="rId56" xr:uid="{00000000-0004-0000-0100-000037000000}"/>
    <hyperlink ref="O30" r:id="rId57" xr:uid="{00000000-0004-0000-0100-000038000000}"/>
    <hyperlink ref="P30" r:id="rId58" xr:uid="{00000000-0004-0000-0100-000039000000}"/>
    <hyperlink ref="O31" r:id="rId59" xr:uid="{00000000-0004-0000-0100-00003A000000}"/>
    <hyperlink ref="P31" r:id="rId60" xr:uid="{00000000-0004-0000-0100-00003B000000}"/>
    <hyperlink ref="O32" r:id="rId61" xr:uid="{00000000-0004-0000-0100-00003C000000}"/>
    <hyperlink ref="P32" r:id="rId62" xr:uid="{00000000-0004-0000-0100-00003D000000}"/>
    <hyperlink ref="O33" r:id="rId63" xr:uid="{00000000-0004-0000-0100-00003E000000}"/>
    <hyperlink ref="P33" r:id="rId64" xr:uid="{00000000-0004-0000-0100-00003F000000}"/>
    <hyperlink ref="O34" r:id="rId65" xr:uid="{00000000-0004-0000-0100-000040000000}"/>
    <hyperlink ref="P34" r:id="rId66" xr:uid="{00000000-0004-0000-0100-000041000000}"/>
    <hyperlink ref="O35" r:id="rId67" xr:uid="{00000000-0004-0000-0100-000042000000}"/>
    <hyperlink ref="P35" r:id="rId68" xr:uid="{00000000-0004-0000-0100-000043000000}"/>
    <hyperlink ref="O36" r:id="rId69" xr:uid="{00000000-0004-0000-0100-000044000000}"/>
    <hyperlink ref="P36" r:id="rId70" xr:uid="{00000000-0004-0000-0100-000045000000}"/>
    <hyperlink ref="O37" r:id="rId71" xr:uid="{00000000-0004-0000-0100-000046000000}"/>
    <hyperlink ref="P37" r:id="rId72" xr:uid="{00000000-0004-0000-0100-000047000000}"/>
    <hyperlink ref="O38" r:id="rId73" xr:uid="{00000000-0004-0000-0100-000048000000}"/>
    <hyperlink ref="P38" r:id="rId74" xr:uid="{00000000-0004-0000-0100-000049000000}"/>
    <hyperlink ref="O39" r:id="rId75" xr:uid="{00000000-0004-0000-0100-00004A000000}"/>
    <hyperlink ref="P39" r:id="rId76" xr:uid="{00000000-0004-0000-0100-00004B000000}"/>
    <hyperlink ref="O40" r:id="rId77" xr:uid="{00000000-0004-0000-0100-00004C000000}"/>
    <hyperlink ref="P40" r:id="rId78" xr:uid="{00000000-0004-0000-0100-00004D000000}"/>
    <hyperlink ref="O41" r:id="rId79" xr:uid="{00000000-0004-0000-0100-00004E000000}"/>
    <hyperlink ref="P41" r:id="rId80" xr:uid="{00000000-0004-0000-0100-00004F000000}"/>
    <hyperlink ref="O42" r:id="rId81" xr:uid="{00000000-0004-0000-0100-000050000000}"/>
    <hyperlink ref="P42" r:id="rId82" xr:uid="{00000000-0004-0000-0100-000051000000}"/>
    <hyperlink ref="O43" r:id="rId83" xr:uid="{00000000-0004-0000-0100-000052000000}"/>
    <hyperlink ref="P43" r:id="rId84" xr:uid="{00000000-0004-0000-0100-000053000000}"/>
    <hyperlink ref="O44" r:id="rId85" xr:uid="{00000000-0004-0000-0100-000054000000}"/>
    <hyperlink ref="P44" r:id="rId86" xr:uid="{00000000-0004-0000-0100-000055000000}"/>
    <hyperlink ref="O45" r:id="rId87" xr:uid="{00000000-0004-0000-0100-000056000000}"/>
    <hyperlink ref="P45" r:id="rId88" xr:uid="{00000000-0004-0000-0100-000057000000}"/>
    <hyperlink ref="O46" r:id="rId89" xr:uid="{00000000-0004-0000-0100-000058000000}"/>
    <hyperlink ref="P46" r:id="rId90" xr:uid="{00000000-0004-0000-0100-000059000000}"/>
    <hyperlink ref="O47" r:id="rId91" xr:uid="{00000000-0004-0000-0100-00005A000000}"/>
    <hyperlink ref="P47" r:id="rId92" xr:uid="{00000000-0004-0000-0100-00005B000000}"/>
    <hyperlink ref="O48" r:id="rId93" xr:uid="{00000000-0004-0000-0100-00005C000000}"/>
    <hyperlink ref="P48" r:id="rId94" xr:uid="{00000000-0004-0000-0100-00005D000000}"/>
    <hyperlink ref="O49" r:id="rId95" xr:uid="{00000000-0004-0000-0100-00005E000000}"/>
    <hyperlink ref="P49" r:id="rId96" xr:uid="{00000000-0004-0000-0100-00005F000000}"/>
    <hyperlink ref="O50" r:id="rId97" xr:uid="{00000000-0004-0000-0100-000060000000}"/>
    <hyperlink ref="P50" r:id="rId98" xr:uid="{00000000-0004-0000-0100-000061000000}"/>
    <hyperlink ref="O51" r:id="rId99" xr:uid="{00000000-0004-0000-0100-000062000000}"/>
    <hyperlink ref="P51" r:id="rId100" xr:uid="{00000000-0004-0000-0100-000063000000}"/>
    <hyperlink ref="O52" r:id="rId101" xr:uid="{00000000-0004-0000-0100-000064000000}"/>
    <hyperlink ref="P52" r:id="rId102" xr:uid="{00000000-0004-0000-0100-000065000000}"/>
    <hyperlink ref="O53" r:id="rId103" xr:uid="{00000000-0004-0000-0100-000066000000}"/>
    <hyperlink ref="P53" r:id="rId104" xr:uid="{00000000-0004-0000-0100-000067000000}"/>
    <hyperlink ref="O54" r:id="rId105" xr:uid="{00000000-0004-0000-0100-000068000000}"/>
    <hyperlink ref="P54" r:id="rId106" xr:uid="{00000000-0004-0000-0100-000069000000}"/>
    <hyperlink ref="O55" r:id="rId107" xr:uid="{00000000-0004-0000-0100-00006A000000}"/>
    <hyperlink ref="P55" r:id="rId108" xr:uid="{00000000-0004-0000-0100-00006B000000}"/>
    <hyperlink ref="O56" r:id="rId109" xr:uid="{00000000-0004-0000-0100-00006C000000}"/>
    <hyperlink ref="P56" r:id="rId110" xr:uid="{00000000-0004-0000-0100-00006D000000}"/>
    <hyperlink ref="O57" r:id="rId111" xr:uid="{00000000-0004-0000-0100-00006E000000}"/>
    <hyperlink ref="P57" r:id="rId112" xr:uid="{00000000-0004-0000-0100-00006F000000}"/>
    <hyperlink ref="O58" r:id="rId113" xr:uid="{00000000-0004-0000-0100-000070000000}"/>
    <hyperlink ref="P58" r:id="rId114" xr:uid="{00000000-0004-0000-0100-000071000000}"/>
    <hyperlink ref="O59" r:id="rId115" xr:uid="{00000000-0004-0000-0100-000072000000}"/>
    <hyperlink ref="P59" r:id="rId116" xr:uid="{00000000-0004-0000-0100-000073000000}"/>
    <hyperlink ref="O60" r:id="rId117" xr:uid="{00000000-0004-0000-0100-000074000000}"/>
    <hyperlink ref="P60" r:id="rId118" xr:uid="{00000000-0004-0000-0100-000075000000}"/>
    <hyperlink ref="O61" r:id="rId119" xr:uid="{00000000-0004-0000-0100-000076000000}"/>
    <hyperlink ref="P61" r:id="rId120" xr:uid="{00000000-0004-0000-0100-000077000000}"/>
    <hyperlink ref="O62" r:id="rId121" xr:uid="{00000000-0004-0000-0100-000078000000}"/>
    <hyperlink ref="P62" r:id="rId122" xr:uid="{00000000-0004-0000-0100-000079000000}"/>
    <hyperlink ref="O63" r:id="rId123" xr:uid="{00000000-0004-0000-0100-00007A000000}"/>
    <hyperlink ref="P63" r:id="rId124" xr:uid="{00000000-0004-0000-0100-00007B000000}"/>
    <hyperlink ref="O64" r:id="rId125" xr:uid="{00000000-0004-0000-0100-00007C000000}"/>
    <hyperlink ref="P64" r:id="rId126" xr:uid="{00000000-0004-0000-0100-00007D000000}"/>
    <hyperlink ref="O65" r:id="rId127" xr:uid="{00000000-0004-0000-0100-00007E000000}"/>
    <hyperlink ref="P65" r:id="rId128" xr:uid="{00000000-0004-0000-0100-00007F000000}"/>
    <hyperlink ref="O66" r:id="rId129" xr:uid="{00000000-0004-0000-0100-000080000000}"/>
    <hyperlink ref="P66" r:id="rId130" xr:uid="{00000000-0004-0000-0100-000081000000}"/>
    <hyperlink ref="O67" r:id="rId131" xr:uid="{00000000-0004-0000-0100-000082000000}"/>
    <hyperlink ref="P67" r:id="rId132" xr:uid="{00000000-0004-0000-0100-000083000000}"/>
    <hyperlink ref="O68" r:id="rId133" xr:uid="{00000000-0004-0000-0100-000084000000}"/>
    <hyperlink ref="P68" r:id="rId134" xr:uid="{00000000-0004-0000-0100-000085000000}"/>
    <hyperlink ref="O69" r:id="rId135" xr:uid="{00000000-0004-0000-0100-000086000000}"/>
    <hyperlink ref="P69" r:id="rId136" xr:uid="{00000000-0004-0000-0100-000087000000}"/>
    <hyperlink ref="O70" r:id="rId137" xr:uid="{00000000-0004-0000-0100-000088000000}"/>
    <hyperlink ref="P70" r:id="rId138" xr:uid="{00000000-0004-0000-0100-000089000000}"/>
    <hyperlink ref="O71" r:id="rId139" xr:uid="{00000000-0004-0000-0100-00008A000000}"/>
    <hyperlink ref="P71" r:id="rId140" xr:uid="{00000000-0004-0000-0100-00008B000000}"/>
    <hyperlink ref="O72" r:id="rId141" xr:uid="{00000000-0004-0000-0100-00008C000000}"/>
    <hyperlink ref="P72" r:id="rId142" xr:uid="{00000000-0004-0000-0100-00008D000000}"/>
    <hyperlink ref="O73" r:id="rId143" xr:uid="{00000000-0004-0000-0100-00008E000000}"/>
    <hyperlink ref="P73" r:id="rId144" xr:uid="{00000000-0004-0000-0100-00008F000000}"/>
    <hyperlink ref="O74" r:id="rId145" xr:uid="{00000000-0004-0000-0100-000090000000}"/>
    <hyperlink ref="P74" r:id="rId146" xr:uid="{00000000-0004-0000-0100-000091000000}"/>
    <hyperlink ref="O75" r:id="rId147" xr:uid="{00000000-0004-0000-0100-000092000000}"/>
    <hyperlink ref="P75" r:id="rId148" xr:uid="{00000000-0004-0000-0100-000093000000}"/>
    <hyperlink ref="O76" r:id="rId149" xr:uid="{00000000-0004-0000-0100-000094000000}"/>
    <hyperlink ref="P76" r:id="rId150" xr:uid="{00000000-0004-0000-0100-000095000000}"/>
    <hyperlink ref="O77" r:id="rId151" xr:uid="{00000000-0004-0000-0100-000096000000}"/>
    <hyperlink ref="P77" r:id="rId152" xr:uid="{00000000-0004-0000-0100-000097000000}"/>
    <hyperlink ref="O78" r:id="rId153" xr:uid="{00000000-0004-0000-0100-000098000000}"/>
    <hyperlink ref="P78" r:id="rId154" xr:uid="{00000000-0004-0000-0100-000099000000}"/>
    <hyperlink ref="O79" r:id="rId155" xr:uid="{00000000-0004-0000-0100-00009A000000}"/>
    <hyperlink ref="P79" r:id="rId156" xr:uid="{00000000-0004-0000-0100-00009B000000}"/>
    <hyperlink ref="O80" r:id="rId157" xr:uid="{00000000-0004-0000-0100-00009C000000}"/>
    <hyperlink ref="P80" r:id="rId158" xr:uid="{00000000-0004-0000-0100-00009D000000}"/>
    <hyperlink ref="O81" r:id="rId159" xr:uid="{00000000-0004-0000-0100-00009E000000}"/>
    <hyperlink ref="P81" r:id="rId160" xr:uid="{00000000-0004-0000-0100-00009F000000}"/>
    <hyperlink ref="O82" r:id="rId161" xr:uid="{00000000-0004-0000-0100-0000A0000000}"/>
    <hyperlink ref="P82" r:id="rId162" xr:uid="{00000000-0004-0000-0100-0000A1000000}"/>
    <hyperlink ref="O83" r:id="rId163" xr:uid="{00000000-0004-0000-0100-0000A2000000}"/>
    <hyperlink ref="P83" r:id="rId164" xr:uid="{00000000-0004-0000-0100-0000A3000000}"/>
    <hyperlink ref="O84" r:id="rId165" xr:uid="{00000000-0004-0000-0100-0000A4000000}"/>
    <hyperlink ref="P84" r:id="rId166" xr:uid="{00000000-0004-0000-0100-0000A5000000}"/>
    <hyperlink ref="O85" r:id="rId167" xr:uid="{00000000-0004-0000-0100-0000A6000000}"/>
    <hyperlink ref="P85" r:id="rId168" xr:uid="{00000000-0004-0000-0100-0000A7000000}"/>
    <hyperlink ref="O86" r:id="rId169" xr:uid="{00000000-0004-0000-0100-0000A8000000}"/>
    <hyperlink ref="P86" r:id="rId170" xr:uid="{00000000-0004-0000-0100-0000A9000000}"/>
    <hyperlink ref="O87" r:id="rId171" xr:uid="{00000000-0004-0000-0100-0000AA000000}"/>
    <hyperlink ref="P87" r:id="rId172" xr:uid="{00000000-0004-0000-0100-0000AB000000}"/>
    <hyperlink ref="O88" r:id="rId173" xr:uid="{00000000-0004-0000-0100-0000AC000000}"/>
    <hyperlink ref="P88" r:id="rId174" xr:uid="{00000000-0004-0000-0100-0000AD000000}"/>
    <hyperlink ref="O89" r:id="rId175" xr:uid="{00000000-0004-0000-0100-0000AE000000}"/>
    <hyperlink ref="P89" r:id="rId176" xr:uid="{00000000-0004-0000-0100-0000AF000000}"/>
    <hyperlink ref="O90" r:id="rId177" xr:uid="{00000000-0004-0000-0100-0000B0000000}"/>
    <hyperlink ref="P90" r:id="rId178" xr:uid="{00000000-0004-0000-0100-0000B1000000}"/>
    <hyperlink ref="O91" r:id="rId179" xr:uid="{00000000-0004-0000-0100-0000B2000000}"/>
    <hyperlink ref="P91" r:id="rId180" xr:uid="{00000000-0004-0000-0100-0000B3000000}"/>
    <hyperlink ref="O92" r:id="rId181" xr:uid="{00000000-0004-0000-0100-0000B4000000}"/>
    <hyperlink ref="P92" r:id="rId182" xr:uid="{00000000-0004-0000-0100-0000B5000000}"/>
    <hyperlink ref="O93" r:id="rId183" xr:uid="{00000000-0004-0000-0100-0000B6000000}"/>
    <hyperlink ref="P93" r:id="rId184" xr:uid="{00000000-0004-0000-0100-0000B7000000}"/>
    <hyperlink ref="O94" r:id="rId185" xr:uid="{00000000-0004-0000-0100-0000B8000000}"/>
    <hyperlink ref="P94" r:id="rId186" xr:uid="{00000000-0004-0000-0100-0000B9000000}"/>
    <hyperlink ref="O95" r:id="rId187" xr:uid="{00000000-0004-0000-0100-0000BA000000}"/>
    <hyperlink ref="P95" r:id="rId188" xr:uid="{00000000-0004-0000-0100-0000BB000000}"/>
    <hyperlink ref="O96" r:id="rId189" xr:uid="{00000000-0004-0000-0100-0000BC000000}"/>
    <hyperlink ref="P96" r:id="rId190" xr:uid="{00000000-0004-0000-0100-0000BD000000}"/>
    <hyperlink ref="O97" r:id="rId191" xr:uid="{00000000-0004-0000-0100-0000BE000000}"/>
    <hyperlink ref="P97" r:id="rId192" xr:uid="{00000000-0004-0000-0100-0000BF000000}"/>
    <hyperlink ref="O98" r:id="rId193" xr:uid="{00000000-0004-0000-0100-0000C0000000}"/>
    <hyperlink ref="P98" r:id="rId194" xr:uid="{00000000-0004-0000-0100-0000C1000000}"/>
    <hyperlink ref="O99" r:id="rId195" xr:uid="{00000000-0004-0000-0100-0000C2000000}"/>
    <hyperlink ref="P99" r:id="rId196" xr:uid="{00000000-0004-0000-0100-0000C3000000}"/>
    <hyperlink ref="O100" r:id="rId197" xr:uid="{00000000-0004-0000-0100-0000C4000000}"/>
    <hyperlink ref="P100" r:id="rId198" xr:uid="{00000000-0004-0000-0100-0000C5000000}"/>
    <hyperlink ref="O101" r:id="rId199" xr:uid="{00000000-0004-0000-0100-0000C6000000}"/>
    <hyperlink ref="P101" r:id="rId200" xr:uid="{00000000-0004-0000-0100-0000C7000000}"/>
    <hyperlink ref="O102" r:id="rId201" xr:uid="{00000000-0004-0000-0100-0000C8000000}"/>
    <hyperlink ref="P102" r:id="rId202" xr:uid="{00000000-0004-0000-0100-0000C9000000}"/>
    <hyperlink ref="O103" r:id="rId203" xr:uid="{00000000-0004-0000-0100-0000CA000000}"/>
    <hyperlink ref="P103" r:id="rId204" xr:uid="{00000000-0004-0000-0100-0000CB000000}"/>
    <hyperlink ref="O104" r:id="rId205" xr:uid="{00000000-0004-0000-0100-0000CC000000}"/>
    <hyperlink ref="P104" r:id="rId206" xr:uid="{00000000-0004-0000-0100-0000CD000000}"/>
    <hyperlink ref="O105" r:id="rId207" xr:uid="{00000000-0004-0000-0100-0000CE000000}"/>
    <hyperlink ref="P105" r:id="rId208" xr:uid="{00000000-0004-0000-0100-0000CF000000}"/>
    <hyperlink ref="O106" r:id="rId209" xr:uid="{00000000-0004-0000-0100-0000D0000000}"/>
    <hyperlink ref="P106" r:id="rId210" xr:uid="{00000000-0004-0000-0100-0000D1000000}"/>
    <hyperlink ref="O107" r:id="rId211" xr:uid="{00000000-0004-0000-0100-0000D2000000}"/>
    <hyperlink ref="P107" r:id="rId212" xr:uid="{00000000-0004-0000-0100-0000D3000000}"/>
    <hyperlink ref="O108" r:id="rId213" xr:uid="{00000000-0004-0000-0100-0000D4000000}"/>
    <hyperlink ref="P108" r:id="rId214" xr:uid="{00000000-0004-0000-0100-0000D5000000}"/>
    <hyperlink ref="O109" r:id="rId215" xr:uid="{00000000-0004-0000-0100-0000D6000000}"/>
    <hyperlink ref="P109" r:id="rId216" xr:uid="{00000000-0004-0000-0100-0000D7000000}"/>
    <hyperlink ref="O110" r:id="rId217" xr:uid="{00000000-0004-0000-0100-0000D8000000}"/>
    <hyperlink ref="P110" r:id="rId218" xr:uid="{00000000-0004-0000-0100-0000D9000000}"/>
    <hyperlink ref="O111" r:id="rId219" xr:uid="{00000000-0004-0000-0100-0000DA000000}"/>
    <hyperlink ref="P111" r:id="rId220" xr:uid="{00000000-0004-0000-0100-0000DB000000}"/>
    <hyperlink ref="O112" r:id="rId221" xr:uid="{00000000-0004-0000-0100-0000DC000000}"/>
    <hyperlink ref="P112" r:id="rId222" xr:uid="{00000000-0004-0000-0100-0000DD000000}"/>
    <hyperlink ref="O113" r:id="rId223" xr:uid="{00000000-0004-0000-0100-0000DE000000}"/>
    <hyperlink ref="P113" r:id="rId224" xr:uid="{00000000-0004-0000-0100-0000DF000000}"/>
    <hyperlink ref="O114" r:id="rId225" xr:uid="{00000000-0004-0000-0100-0000E0000000}"/>
    <hyperlink ref="P114" r:id="rId226" xr:uid="{00000000-0004-0000-0100-0000E1000000}"/>
    <hyperlink ref="O115" r:id="rId227" xr:uid="{00000000-0004-0000-0100-0000E2000000}"/>
    <hyperlink ref="P115" r:id="rId228" xr:uid="{00000000-0004-0000-0100-0000E3000000}"/>
    <hyperlink ref="O116" r:id="rId229" xr:uid="{00000000-0004-0000-0100-0000E4000000}"/>
    <hyperlink ref="P116" r:id="rId230" xr:uid="{00000000-0004-0000-0100-0000E5000000}"/>
    <hyperlink ref="O117" r:id="rId231" xr:uid="{00000000-0004-0000-0100-0000E6000000}"/>
    <hyperlink ref="P117" r:id="rId232" xr:uid="{00000000-0004-0000-0100-0000E7000000}"/>
    <hyperlink ref="O118" r:id="rId233" xr:uid="{00000000-0004-0000-0100-0000E8000000}"/>
    <hyperlink ref="P118" r:id="rId234" xr:uid="{00000000-0004-0000-0100-0000E9000000}"/>
    <hyperlink ref="O119" r:id="rId235" xr:uid="{00000000-0004-0000-0100-0000EA000000}"/>
    <hyperlink ref="P119" r:id="rId236" xr:uid="{00000000-0004-0000-0100-0000EB000000}"/>
    <hyperlink ref="O120" r:id="rId237" xr:uid="{00000000-0004-0000-0100-0000EC000000}"/>
    <hyperlink ref="P120" r:id="rId238" xr:uid="{00000000-0004-0000-0100-0000ED000000}"/>
    <hyperlink ref="O121" r:id="rId239" xr:uid="{00000000-0004-0000-0100-0000EE000000}"/>
    <hyperlink ref="P121" r:id="rId240" xr:uid="{00000000-0004-0000-0100-0000EF000000}"/>
    <hyperlink ref="O122" r:id="rId241" xr:uid="{00000000-0004-0000-0100-0000F0000000}"/>
    <hyperlink ref="P122" r:id="rId242" xr:uid="{00000000-0004-0000-0100-0000F1000000}"/>
    <hyperlink ref="O123" r:id="rId243" xr:uid="{00000000-0004-0000-0100-0000F2000000}"/>
    <hyperlink ref="P123" r:id="rId244" xr:uid="{00000000-0004-0000-0100-0000F3000000}"/>
    <hyperlink ref="O124" r:id="rId245" xr:uid="{00000000-0004-0000-0100-0000F4000000}"/>
    <hyperlink ref="P124" r:id="rId246" xr:uid="{00000000-0004-0000-0100-0000F5000000}"/>
    <hyperlink ref="O125" r:id="rId247" xr:uid="{00000000-0004-0000-0100-0000F6000000}"/>
    <hyperlink ref="P125" r:id="rId248" xr:uid="{00000000-0004-0000-0100-0000F7000000}"/>
    <hyperlink ref="O126" r:id="rId249" xr:uid="{00000000-0004-0000-0100-0000F8000000}"/>
    <hyperlink ref="P126" r:id="rId250" xr:uid="{00000000-0004-0000-0100-0000F9000000}"/>
    <hyperlink ref="O127" r:id="rId251" xr:uid="{00000000-0004-0000-0100-0000FA000000}"/>
    <hyperlink ref="P127" r:id="rId252" xr:uid="{00000000-0004-0000-0100-0000FB000000}"/>
    <hyperlink ref="O128" r:id="rId253" xr:uid="{00000000-0004-0000-0100-0000FC000000}"/>
    <hyperlink ref="P128" r:id="rId254" xr:uid="{00000000-0004-0000-0100-0000FD000000}"/>
    <hyperlink ref="O129" r:id="rId255" xr:uid="{00000000-0004-0000-0100-0000FE000000}"/>
    <hyperlink ref="P129" r:id="rId256" xr:uid="{00000000-0004-0000-0100-0000FF000000}"/>
    <hyperlink ref="O130" r:id="rId257" xr:uid="{00000000-0004-0000-0100-000000010000}"/>
    <hyperlink ref="P130" r:id="rId258" xr:uid="{00000000-0004-0000-0100-000001010000}"/>
    <hyperlink ref="O131" r:id="rId259" xr:uid="{00000000-0004-0000-0100-000002010000}"/>
    <hyperlink ref="P131" r:id="rId260" xr:uid="{00000000-0004-0000-0100-000003010000}"/>
    <hyperlink ref="O132" r:id="rId261" xr:uid="{00000000-0004-0000-0100-000004010000}"/>
    <hyperlink ref="P132" r:id="rId262" xr:uid="{00000000-0004-0000-0100-000005010000}"/>
    <hyperlink ref="O133" r:id="rId263" xr:uid="{00000000-0004-0000-0100-000006010000}"/>
    <hyperlink ref="P133" r:id="rId264" xr:uid="{00000000-0004-0000-0100-000007010000}"/>
    <hyperlink ref="O134" r:id="rId265" xr:uid="{00000000-0004-0000-0100-000008010000}"/>
    <hyperlink ref="P134" r:id="rId266" xr:uid="{00000000-0004-0000-0100-000009010000}"/>
    <hyperlink ref="O135" r:id="rId267" xr:uid="{00000000-0004-0000-0100-00000A010000}"/>
    <hyperlink ref="P135" r:id="rId268" xr:uid="{00000000-0004-0000-0100-00000B010000}"/>
    <hyperlink ref="O136" r:id="rId269" xr:uid="{00000000-0004-0000-0100-00000C010000}"/>
    <hyperlink ref="P136" r:id="rId270" xr:uid="{00000000-0004-0000-0100-00000D010000}"/>
    <hyperlink ref="O137" r:id="rId271" xr:uid="{00000000-0004-0000-0100-00000E010000}"/>
    <hyperlink ref="P137" r:id="rId272" xr:uid="{00000000-0004-0000-0100-00000F010000}"/>
    <hyperlink ref="O138" r:id="rId273" xr:uid="{00000000-0004-0000-0100-000010010000}"/>
    <hyperlink ref="P138" r:id="rId274" xr:uid="{00000000-0004-0000-0100-000011010000}"/>
    <hyperlink ref="O139" r:id="rId275" xr:uid="{00000000-0004-0000-0100-000012010000}"/>
    <hyperlink ref="P139" r:id="rId276" xr:uid="{00000000-0004-0000-0100-000013010000}"/>
  </hyperlinks>
  <pageMargins left="0.75" right="0.75" top="1" bottom="1" header="0.5" footer="0.5"/>
  <legacyDrawing r:id="rId277"/>
  <extLst>
    <ext xmlns:x14="http://schemas.microsoft.com/office/spreadsheetml/2009/9/main" uri="{CCE6A557-97BC-4b89-ADB6-D9C93CAAB3DF}">
      <x14:dataValidations xmlns:xm="http://schemas.microsoft.com/office/excel/2006/main" count="5">
        <x14:dataValidation type="list" allowBlank="1" errorTitle="Valor no permitido" error="Selecciona una opcion valida de la lista." promptTitle="decision_auditoria" prompt="Usa la lista desplegable." xr:uid="{00000000-0002-0000-0100-000000000000}">
          <x14:formula1>
            <xm:f>vocabulario!$A$2:$A$8</xm:f>
          </x14:formula1>
          <xm:sqref>V2:V139</xm:sqref>
        </x14:dataValidation>
        <x14:dataValidation type="list" allowBlank="1" errorTitle="Valor no permitido" error="Selecciona una opcion valida de la lista." promptTitle="incluir_en_corpus" prompt="Usa la lista desplegable." xr:uid="{00000000-0002-0000-0100-000001000000}">
          <x14:formula1>
            <xm:f>vocabulario!$B$2:$B$4</xm:f>
          </x14:formula1>
          <xm:sqref>Y2:Y139</xm:sqref>
        </x14:dataValidation>
        <x14:dataValidation type="list" allowBlank="1" errorTitle="Valor no permitido" error="Selecciona una opcion valida de la lista." promptTitle="subconjunto_corpus" prompt="Usa la lista desplegable." xr:uid="{00000000-0002-0000-0100-000002000000}">
          <x14:formula1>
            <xm:f>vocabulario!$C$2:$C$5</xm:f>
          </x14:formula1>
          <xm:sqref>Z2:Z139</xm:sqref>
        </x14:dataValidation>
        <x14:dataValidation type="list" allowBlank="1" errorTitle="Valor no permitido" error="Selecciona una opcion valida de la lista." promptTitle="calidad_visual" prompt="Usa la lista desplegable." xr:uid="{00000000-0002-0000-0100-000003000000}">
          <x14:formula1>
            <xm:f>vocabulario!$D$2:$D$5</xm:f>
          </x14:formula1>
          <xm:sqref>AA2:AA139</xm:sqref>
        </x14:dataValidation>
        <x14:dataValidation type="list" allowBlank="1" errorTitle="Valor no permitido" error="Selecciona una opcion valida de la lista." promptTitle="tipo_objeto_manual" prompt="Usa la lista desplegable." xr:uid="{00000000-0002-0000-0100-000004000000}">
          <x14:formula1>
            <xm:f>vocabulario!$E$2:$E$11</xm:f>
          </x14:formula1>
          <xm:sqref>AB2:AB139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
  <sheetViews>
    <sheetView workbookViewId="0"/>
  </sheetViews>
  <sheetFormatPr baseColWidth="10" defaultColWidth="8.88671875" defaultRowHeight="14.4" x14ac:dyDescent="0.3"/>
  <cols>
    <col min="1" max="1" width="38" customWidth="1"/>
    <col min="2" max="2" width="18" customWidth="1"/>
  </cols>
  <sheetData>
    <row r="1" spans="1:4" ht="21" x14ac:dyDescent="0.4">
      <c r="A1" s="9" t="s">
        <v>1062</v>
      </c>
      <c r="B1" s="8"/>
      <c r="C1" s="8"/>
      <c r="D1" s="8"/>
    </row>
    <row r="3" spans="1:4" x14ac:dyDescent="0.3">
      <c r="A3" s="1" t="s">
        <v>1063</v>
      </c>
      <c r="B3" s="1" t="s">
        <v>1064</v>
      </c>
      <c r="C3" s="1"/>
      <c r="D3" s="1"/>
    </row>
    <row r="4" spans="1:4" x14ac:dyDescent="0.3">
      <c r="A4" t="s">
        <v>1065</v>
      </c>
      <c r="B4">
        <v>138</v>
      </c>
    </row>
    <row r="5" spans="1:4" x14ac:dyDescent="0.3">
      <c r="A5" t="s">
        <v>1066</v>
      </c>
      <c r="B5">
        <f>COUNTA(revision_candidatos!V:V)-1</f>
        <v>138</v>
      </c>
    </row>
    <row r="6" spans="1:4" x14ac:dyDescent="0.3">
      <c r="A6" t="s">
        <v>1067</v>
      </c>
      <c r="B6">
        <f>COUNTBLANK(revision_candidatos!V:V)-1</f>
        <v>1048436</v>
      </c>
    </row>
    <row r="7" spans="1:4" x14ac:dyDescent="0.3">
      <c r="A7" t="s">
        <v>1068</v>
      </c>
      <c r="B7">
        <f>COUNTIF(revision_candidatos!Y:Y,"si")</f>
        <v>0</v>
      </c>
    </row>
    <row r="8" spans="1:4" x14ac:dyDescent="0.3">
      <c r="A8" t="s">
        <v>1069</v>
      </c>
      <c r="B8">
        <f>COUNTIF(revision_candidatos!Y:Y,"no")</f>
        <v>0</v>
      </c>
    </row>
    <row r="9" spans="1:4" x14ac:dyDescent="0.3">
      <c r="A9" t="s">
        <v>1070</v>
      </c>
      <c r="B9">
        <f>COUNTIF(revision_candidatos!Y:Y,"pendiente")</f>
        <v>138</v>
      </c>
    </row>
    <row r="11" spans="1:4" x14ac:dyDescent="0.3">
      <c r="A11" s="1" t="s">
        <v>40</v>
      </c>
      <c r="B11" s="1" t="s">
        <v>1071</v>
      </c>
      <c r="C11" s="1"/>
      <c r="D11" s="1"/>
    </row>
    <row r="12" spans="1:4" x14ac:dyDescent="0.3">
      <c r="A12" t="s">
        <v>1072</v>
      </c>
      <c r="B12">
        <f>COUNTIF(revision_candidatos!V:V,A12)</f>
        <v>88</v>
      </c>
    </row>
    <row r="13" spans="1:4" x14ac:dyDescent="0.3">
      <c r="A13" t="s">
        <v>1073</v>
      </c>
      <c r="B13">
        <f>COUNTIF(revision_candidatos!V:V,A13)</f>
        <v>19</v>
      </c>
    </row>
    <row r="14" spans="1:4" x14ac:dyDescent="0.3">
      <c r="A14" t="s">
        <v>1074</v>
      </c>
      <c r="B14">
        <f>COUNTIF(revision_candidatos!V:V,A14)</f>
        <v>1</v>
      </c>
    </row>
    <row r="15" spans="1:4" x14ac:dyDescent="0.3">
      <c r="A15" t="s">
        <v>1075</v>
      </c>
      <c r="B15">
        <f>COUNTIF(revision_candidatos!V:V,A15)</f>
        <v>4</v>
      </c>
    </row>
    <row r="16" spans="1:4" x14ac:dyDescent="0.3">
      <c r="A16" t="s">
        <v>1076</v>
      </c>
      <c r="B16">
        <f>COUNTIF(revision_candidatos!V:V,A16)</f>
        <v>24</v>
      </c>
    </row>
    <row r="17" spans="1:4" x14ac:dyDescent="0.3">
      <c r="A17" t="s">
        <v>1077</v>
      </c>
      <c r="B17">
        <f>COUNTIF(revision_candidatos!V:V,A17)</f>
        <v>2</v>
      </c>
    </row>
    <row r="18" spans="1:4" x14ac:dyDescent="0.3">
      <c r="A18" t="s">
        <v>1078</v>
      </c>
      <c r="B18">
        <f>COUNTIF(revision_candidatos!V:V,A18)</f>
        <v>0</v>
      </c>
    </row>
    <row r="20" spans="1:4" x14ac:dyDescent="0.3">
      <c r="A20" s="1" t="s">
        <v>44</v>
      </c>
      <c r="B20" s="1" t="s">
        <v>1071</v>
      </c>
      <c r="C20" s="1"/>
      <c r="D20" s="1"/>
    </row>
    <row r="21" spans="1:4" x14ac:dyDescent="0.3">
      <c r="A21" t="s">
        <v>1079</v>
      </c>
      <c r="B21">
        <f>COUNTIF(revision_candidatos!Z:Z,A21)</f>
        <v>0</v>
      </c>
    </row>
    <row r="22" spans="1:4" x14ac:dyDescent="0.3">
      <c r="A22" t="s">
        <v>1080</v>
      </c>
      <c r="B22">
        <f>COUNTIF(revision_candidatos!Z:Z,A22)</f>
        <v>0</v>
      </c>
    </row>
    <row r="23" spans="1:4" x14ac:dyDescent="0.3">
      <c r="A23" t="s">
        <v>1081</v>
      </c>
      <c r="B23">
        <f>COUNTIF(revision_candidatos!Z:Z,A23)</f>
        <v>0</v>
      </c>
    </row>
    <row r="24" spans="1:4" x14ac:dyDescent="0.3">
      <c r="A24" t="s">
        <v>70</v>
      </c>
      <c r="B24">
        <f>COUNTIF(revision_candidatos!Z:Z,A24)</f>
        <v>138</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sheetViews>
  <sheetFormatPr baseColWidth="10" defaultColWidth="8.88671875" defaultRowHeight="14.4" x14ac:dyDescent="0.3"/>
  <cols>
    <col min="1" max="5" width="28" customWidth="1"/>
  </cols>
  <sheetData>
    <row r="1" spans="1:5" x14ac:dyDescent="0.3">
      <c r="A1" s="6" t="s">
        <v>40</v>
      </c>
      <c r="B1" s="6" t="s">
        <v>43</v>
      </c>
      <c r="C1" s="6" t="s">
        <v>44</v>
      </c>
      <c r="D1" s="6" t="s">
        <v>45</v>
      </c>
      <c r="E1" s="6" t="s">
        <v>46</v>
      </c>
    </row>
    <row r="2" spans="1:5" x14ac:dyDescent="0.3">
      <c r="A2" t="s">
        <v>1072</v>
      </c>
      <c r="B2" t="s">
        <v>1082</v>
      </c>
      <c r="C2" t="s">
        <v>1079</v>
      </c>
      <c r="D2" t="s">
        <v>1083</v>
      </c>
      <c r="E2" t="s">
        <v>1084</v>
      </c>
    </row>
    <row r="3" spans="1:5" x14ac:dyDescent="0.3">
      <c r="A3" t="s">
        <v>1073</v>
      </c>
      <c r="B3" t="s">
        <v>1085</v>
      </c>
      <c r="C3" t="s">
        <v>1080</v>
      </c>
      <c r="D3" t="s">
        <v>1086</v>
      </c>
      <c r="E3" t="s">
        <v>1087</v>
      </c>
    </row>
    <row r="4" spans="1:5" x14ac:dyDescent="0.3">
      <c r="A4" t="s">
        <v>1074</v>
      </c>
      <c r="B4" t="s">
        <v>70</v>
      </c>
      <c r="C4" t="s">
        <v>1081</v>
      </c>
      <c r="D4" t="s">
        <v>1088</v>
      </c>
      <c r="E4" t="s">
        <v>1089</v>
      </c>
    </row>
    <row r="5" spans="1:5" x14ac:dyDescent="0.3">
      <c r="A5" t="s">
        <v>1075</v>
      </c>
      <c r="C5" t="s">
        <v>70</v>
      </c>
      <c r="D5" t="s">
        <v>1090</v>
      </c>
      <c r="E5" t="s">
        <v>1091</v>
      </c>
    </row>
    <row r="6" spans="1:5" x14ac:dyDescent="0.3">
      <c r="A6" t="s">
        <v>1076</v>
      </c>
      <c r="E6" t="s">
        <v>1092</v>
      </c>
    </row>
    <row r="7" spans="1:5" x14ac:dyDescent="0.3">
      <c r="A7" t="s">
        <v>1077</v>
      </c>
      <c r="E7" t="s">
        <v>1093</v>
      </c>
    </row>
    <row r="8" spans="1:5" x14ac:dyDescent="0.3">
      <c r="A8" t="s">
        <v>1078</v>
      </c>
      <c r="E8" t="s">
        <v>1094</v>
      </c>
    </row>
    <row r="9" spans="1:5" x14ac:dyDescent="0.3">
      <c r="E9" t="s">
        <v>1095</v>
      </c>
    </row>
    <row r="10" spans="1:5" x14ac:dyDescent="0.3">
      <c r="E10" t="s">
        <v>1096</v>
      </c>
    </row>
    <row r="11" spans="1:5" x14ac:dyDescent="0.3">
      <c r="E11" t="s">
        <v>1097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revision_candidatos</vt:lpstr>
      <vt:lpstr>resumen</vt:lpstr>
      <vt:lpstr>vocabulario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HENRY SANCHEZ ALVARADO</cp:lastModifiedBy>
  <dcterms:created xsi:type="dcterms:W3CDTF">2026-07-01T00:04:35Z</dcterms:created>
  <dcterms:modified xsi:type="dcterms:W3CDTF">2026-07-01T00:32:23Z</dcterms:modified>
</cp:coreProperties>
</file>